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mmary Dashboard" sheetId="1" state="visible" r:id="rId1"/>
    <sheet xmlns:r="http://schemas.openxmlformats.org/officeDocument/2006/relationships" name="1. Data Quality" sheetId="2" state="visible" r:id="rId2"/>
    <sheet xmlns:r="http://schemas.openxmlformats.org/officeDocument/2006/relationships" name="2. Annual Issuance" sheetId="3" state="visible" r:id="rId3"/>
    <sheet xmlns:r="http://schemas.openxmlformats.org/officeDocument/2006/relationships" name="3. Geography" sheetId="4" state="visible" r:id="rId4"/>
    <sheet xmlns:r="http://schemas.openxmlformats.org/officeDocument/2006/relationships" name="4. Sector Breakdown" sheetId="5" state="visible" r:id="rId5"/>
    <sheet xmlns:r="http://schemas.openxmlformats.org/officeDocument/2006/relationships" name="5. Theme Evolution" sheetId="6" state="visible" r:id="rId6"/>
    <sheet xmlns:r="http://schemas.openxmlformats.org/officeDocument/2006/relationships" name="6. SLB Analysis" sheetId="7" state="visible" r:id="rId7"/>
    <sheet xmlns:r="http://schemas.openxmlformats.org/officeDocument/2006/relationships" name="7. Greenium Framework" sheetId="8" state="visible" r:id="rId8"/>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8">
    <font>
      <name val="Calibri"/>
      <family val="2"/>
      <color theme="1"/>
      <sz val="11"/>
      <scheme val="minor"/>
    </font>
    <font>
      <b val="1"/>
      <color rgb="00FFFFFF"/>
      <sz val="12"/>
    </font>
    <font>
      <i val="1"/>
      <color rgb="00595959"/>
      <sz val="9"/>
    </font>
    <font>
      <b val="1"/>
      <color rgb="00FFFFFF"/>
    </font>
    <font>
      <b val="1"/>
      <color rgb="001A7A4A"/>
      <sz val="13"/>
    </font>
    <font>
      <i val="1"/>
      <color rgb="00595959"/>
      <sz val="8"/>
    </font>
    <font>
      <b val="1"/>
      <color rgb="002E7D32"/>
      <sz val="11"/>
    </font>
    <font>
      <b val="1"/>
      <sz val="10"/>
    </font>
  </fonts>
  <fills count="5">
    <fill>
      <patternFill/>
    </fill>
    <fill>
      <patternFill patternType="gray125"/>
    </fill>
    <fill>
      <patternFill patternType="solid">
        <fgColor rgb="002E7D32"/>
      </patternFill>
    </fill>
    <fill>
      <patternFill patternType="solid">
        <fgColor rgb="001A7A4A"/>
      </patternFill>
    </fill>
    <fill>
      <patternFill patternType="solid">
        <fgColor rgb="00E8F5E9"/>
      </patternFill>
    </fill>
  </fills>
  <borders count="1">
    <border>
      <left/>
      <right/>
      <top/>
      <bottom/>
      <diagonal/>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center" wrapText="1"/>
    </xf>
    <xf numFmtId="0" fontId="4" fillId="0" borderId="0" applyAlignment="1" pivotButton="0" quotePrefix="0" xfId="0">
      <alignment horizontal="center"/>
    </xf>
    <xf numFmtId="0" fontId="5" fillId="0" borderId="0" applyAlignment="1" pivotButton="0" quotePrefix="0" xfId="0">
      <alignment horizontal="center" wrapText="1"/>
    </xf>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4" fontId="0" fillId="0" borderId="0" pivotButton="0" quotePrefix="0" xfId="0"/>
    <xf numFmtId="164" fontId="0" fillId="0" borderId="0" pivotButton="0" quotePrefix="0" xfId="0"/>
    <xf numFmtId="4" fontId="0" fillId="4" borderId="0" pivotButton="0" quotePrefix="0" xfId="0"/>
    <xf numFmtId="164" fontId="0" fillId="4" borderId="0" pivotButton="0" quotePrefix="0" xfId="0"/>
    <xf numFmtId="165" fontId="0" fillId="0" borderId="0" pivotButton="0" quotePrefix="0" xfId="0"/>
    <xf numFmtId="165"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USD Volume by Year</a:t>
            </a:r>
          </a:p>
        </rich>
      </tx>
    </title>
    <plotArea>
      <barChart>
        <barDir val="col"/>
        <grouping val="clustered"/>
        <ser>
          <idx val="0"/>
          <order val="0"/>
          <tx>
            <strRef>
              <f>'2. Annual Issuance'!C3</f>
            </strRef>
          </tx>
          <spPr>
            <a:ln xmlns:a="http://schemas.openxmlformats.org/drawingml/2006/main">
              <a:prstDash val="solid"/>
            </a:ln>
          </spPr>
          <cat>
            <numRef>
              <f>'2. Annual Issuance'!$A$4:$A$13</f>
            </numRef>
          </cat>
          <val>
            <numRef>
              <f>'2. Annual Issuance'!$C$4:$C$13</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USD bn</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Deal Count by Year</a:t>
            </a:r>
          </a:p>
        </rich>
      </tx>
    </title>
    <plotArea>
      <lineChart>
        <grouping val="standard"/>
        <ser>
          <idx val="0"/>
          <order val="0"/>
          <tx>
            <strRef>
              <f>'2. Annual Issuance'!B3</f>
            </strRef>
          </tx>
          <spPr>
            <a:ln xmlns:a="http://schemas.openxmlformats.org/drawingml/2006/main">
              <a:prstDash val="solid"/>
            </a:ln>
          </spPr>
          <marker>
            <symbol val="none"/>
            <spPr>
              <a:ln xmlns:a="http://schemas.openxmlformats.org/drawingml/2006/main">
                <a:prstDash val="solid"/>
              </a:ln>
            </spPr>
          </marker>
          <cat>
            <numRef>
              <f>'2. Annual Issuance'!$A$4:$A$13</f>
            </numRef>
          </cat>
          <val>
            <numRef>
              <f>'2. Annual Issuance'!$B$4:$B$13</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Deals</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Issuance Volume by Country (USD bn)</a:t>
            </a:r>
          </a:p>
        </rich>
      </tx>
    </title>
    <plotArea>
      <barChart>
        <barDir val="bar"/>
        <grouping val="clustered"/>
        <ser>
          <idx val="0"/>
          <order val="0"/>
          <tx>
            <strRef>
              <f>'3. Geography'!C3</f>
            </strRef>
          </tx>
          <spPr>
            <a:ln xmlns:a="http://schemas.openxmlformats.org/drawingml/2006/main">
              <a:prstDash val="solid"/>
            </a:ln>
          </spPr>
          <cat>
            <numRef>
              <f>'3. Geography'!$A$4:$A$18</f>
            </numRef>
          </cat>
          <val>
            <numRef>
              <f>'3. Geography'!$C$4:$C$18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Issuance Volume by Sector (USD bn)</a:t>
            </a:r>
          </a:p>
        </rich>
      </tx>
    </title>
    <plotArea>
      <barChart>
        <barDir val="bar"/>
        <grouping val="clustered"/>
        <ser>
          <idx val="0"/>
          <order val="0"/>
          <tx>
            <strRef>
              <f>'4. Sector Breakdown'!C3</f>
            </strRef>
          </tx>
          <spPr>
            <a:ln xmlns:a="http://schemas.openxmlformats.org/drawingml/2006/main">
              <a:prstDash val="solid"/>
            </a:ln>
          </spPr>
          <cat>
            <numRef>
              <f>'4. Sector Breakdown'!$A$4:$A$15</f>
            </numRef>
          </cat>
          <val>
            <numRef>
              <f>'4. Sector Breakdown'!$C$4:$C$15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SLB Penetration (% of all labelled issuance)</a:t>
            </a:r>
          </a:p>
        </rich>
      </tx>
    </title>
    <plotArea>
      <lineChart>
        <grouping val="standard"/>
        <ser>
          <idx val="0"/>
          <order val="0"/>
          <tx>
            <strRef>
              <f>'6. SLB Analysis'!F3</f>
            </strRef>
          </tx>
          <spPr>
            <a:ln xmlns:a="http://schemas.openxmlformats.org/drawingml/2006/main">
              <a:prstDash val="solid"/>
            </a:ln>
          </spPr>
          <marker>
            <symbol val="none"/>
            <spPr>
              <a:ln xmlns:a="http://schemas.openxmlformats.org/drawingml/2006/main">
                <a:prstDash val="solid"/>
              </a:ln>
            </spPr>
          </marker>
          <cat>
            <numRef>
              <f>'6. SLB Analysis'!$A$4:$A$13</f>
            </numRef>
          </cat>
          <val>
            <numRef>
              <f>'6. SLB Analysis'!$F$4:$F$13</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6</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20</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5</col>
      <colOff>0</colOff>
      <row>2</row>
      <rowOff>0</rowOff>
    </from>
    <ext cx="57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20" customWidth="1" min="1" max="1"/>
    <col width="26" customWidth="1" min="2" max="2"/>
    <col width="20" customWidth="1" min="3" max="3"/>
    <col width="18" customWidth="1" min="4" max="4"/>
    <col width="18" customWidth="1" min="5" max="5"/>
    <col width="20" customWidth="1" min="6" max="6"/>
  </cols>
  <sheetData>
    <row r="1" ht="22" customHeight="1">
      <c r="A1" s="1" t="inlineStr">
        <is>
          <t>GREEN BOND MARKET ANALYSIS — EXECUTIVE SUMMARY</t>
        </is>
      </c>
    </row>
    <row r="2">
      <c r="A2" s="2" t="inlineStr">
        <is>
          <t>UCL Sustainable Finance Portfolio · Project 1 · ShangyuZ</t>
        </is>
      </c>
    </row>
    <row r="4">
      <c r="A4" s="3" t="inlineStr">
        <is>
          <t>Total issuance</t>
        </is>
      </c>
      <c r="B4" s="3" t="inlineStr">
        <is>
          <t>Total deals</t>
        </is>
      </c>
      <c r="C4" s="3" t="inlineStr">
        <is>
          <t>Years covered</t>
        </is>
      </c>
      <c r="D4" s="3" t="inlineStr">
        <is>
          <t>Countries</t>
        </is>
      </c>
      <c r="E4" s="3" t="inlineStr">
        <is>
          <t>Unique issuers</t>
        </is>
      </c>
      <c r="F4" s="3" t="inlineStr">
        <is>
          <t>Green share</t>
        </is>
      </c>
    </row>
    <row r="5">
      <c r="A5" s="4" t="inlineStr">
        <is>
          <t>$650.0bn</t>
        </is>
      </c>
      <c r="B5" s="4" t="n">
        <v>732</v>
      </c>
      <c r="C5" s="4" t="inlineStr">
        <is>
          <t>2015–2024</t>
        </is>
      </c>
      <c r="D5" s="4" t="n">
        <v>64</v>
      </c>
      <c r="E5" s="4" t="n">
        <v>180</v>
      </c>
      <c r="F5" s="4" t="inlineStr">
        <is>
          <t>81% of volume</t>
        </is>
      </c>
    </row>
    <row r="6">
      <c r="A6" s="5" t="inlineStr">
        <is>
          <t>All themes, full dataset</t>
        </is>
      </c>
      <c r="B6" s="5" t="inlineStr">
        <is>
          <t>Labelled sustainable bonds</t>
        </is>
      </c>
      <c r="C6" s="5" t="inlineStr">
        <is>
          <t>10-year time series</t>
        </is>
      </c>
      <c r="D6" s="5" t="inlineStr">
        <is>
          <t>Excl. supranational issuers</t>
        </is>
      </c>
      <c r="E6" s="5" t="inlineStr">
        <is>
          <t>After folding name variants</t>
        </is>
      </c>
      <c r="F6" s="5" t="inlineStr">
        <is>
          <t>67% of deal count</t>
        </is>
      </c>
    </row>
    <row r="8">
      <c r="A8" s="6" t="inlineStr">
        <is>
          <t>KEY FINDINGS</t>
        </is>
      </c>
    </row>
    <row r="9" ht="42" customHeight="1">
      <c r="A9" s="7" t="inlineStr">
        <is>
          <t>Market growth</t>
        </is>
      </c>
      <c r="B9" s="8" t="inlineStr">
        <is>
          <t>Deal count grew from 10 in 2018 to 238 in 2023 (2,280%). On USD volume the same period grew from $17.6bn to $184.5bn (950%) — deal count overstates growth because average deal size fell as the market broadened.</t>
        </is>
      </c>
    </row>
    <row r="10" ht="42" customHeight="1">
      <c r="A10" s="7" t="inlineStr">
        <is>
          <t>Dominant theme</t>
        </is>
      </c>
      <c r="B10" s="8" t="inlineStr">
        <is>
          <t>Green bonds are 67% of deals but 81% of volume, so the average green deal is materially larger than the average labelled bond.</t>
        </is>
      </c>
    </row>
    <row r="11" ht="42" customHeight="1">
      <c r="A11" s="7" t="inlineStr">
        <is>
          <t>SLB emergence</t>
        </is>
      </c>
      <c r="B11" s="8" t="inlineStr">
        <is>
          <t>SLBs are 15% of deals but only 3% of volume — many small transactions. SLB share of annual volume reached 11.8% in 2024, up from almost nothing before 2021 (a single 2015 record, flagged on the Data Quality sheet as mislabelled, aside).</t>
        </is>
      </c>
    </row>
    <row r="12" ht="42" customHeight="1">
      <c r="A12" s="7" t="inlineStr">
        <is>
          <t>Geographic concentration</t>
        </is>
      </c>
      <c r="B12" s="8" t="inlineStr">
        <is>
          <t>The top three countries by volume (Germany, France, UK) account for 36% of issuance, against 64 countries in the dataset.</t>
        </is>
      </c>
    </row>
    <row r="13" ht="42" customHeight="1">
      <c r="A13" s="7" t="inlineStr">
        <is>
          <t>Sovereign share (sample)</t>
        </is>
      </c>
      <c r="B13" s="8" t="inlineStr">
        <is>
          <t>Sovereign issuers are 82% of this sample's volume across 448 deals. That reflects the selection of a newsflow extract, not the market: CBI's Sustainable Debt Market Summary Q3 2024 puts sovereigns at $630.5bn of $5.4tn cumulative aligned volume, about 11.6%.</t>
        </is>
      </c>
    </row>
    <row r="14" ht="42" customHeight="1">
      <c r="A14" s="7" t="inlineStr">
        <is>
          <t>Greenium</t>
        </is>
      </c>
      <c r="B14" s="8" t="inlineStr">
        <is>
          <t>No terminal data is used. Sheet 7 sets out the academic evidence and a matched-pair framework built on issuer-published sovereign green/conventional 'twin' bond yields — see that sheet for sources.</t>
        </is>
      </c>
    </row>
    <row r="16">
      <c r="A16" s="6" t="inlineStr">
        <is>
          <t>SCOPE RECONCILIATION</t>
        </is>
      </c>
    </row>
    <row r="17">
      <c r="A17" s="9" t="inlineStr">
        <is>
          <t>The dataset spans 2015–2024. 2015–2017 contributes $11.90bn across 9 deals — small, but it is included in the $650.04bn total above and in every sheet, so all tables reconcile to the same figure. 2024 is a partial year in this extract: the -47% volume change shown for 2024 reflects the data cut-off, not a market contraction, and should not be read as a trend.</t>
        </is>
      </c>
    </row>
    <row r="18"/>
    <row r="20">
      <c r="A20" s="9" t="inlineStr">
        <is>
          <t>Sector is undisclosed for 65 deals ($23.79bn, 3.7% of volume). These are shown as 'Unclassified' rather than dropped, so sector shares sum to 100%. See sheet 1 for all cleaning rules.</t>
        </is>
      </c>
    </row>
    <row r="21"/>
  </sheetData>
  <mergeCells count="9">
    <mergeCell ref="B12:F12"/>
    <mergeCell ref="B10:F10"/>
    <mergeCell ref="B11:F11"/>
    <mergeCell ref="A1:F1"/>
    <mergeCell ref="A17:F18"/>
    <mergeCell ref="B14:F14"/>
    <mergeCell ref="A20:F21"/>
    <mergeCell ref="B9:F9"/>
    <mergeCell ref="B13:F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46" customWidth="1" min="1" max="1"/>
    <col width="18" customWidth="1" min="2" max="2"/>
    <col width="72" customWidth="1" min="3" max="3"/>
  </cols>
  <sheetData>
    <row r="1" ht="22" customHeight="1">
      <c r="A1" s="1" t="inlineStr">
        <is>
          <t>DATA QUALITY — CLEANING RULES APPLIED</t>
        </is>
      </c>
    </row>
    <row r="3">
      <c r="A3" s="3" t="inlineStr">
        <is>
          <t>Cleaning rule</t>
        </is>
      </c>
      <c r="B3" s="3" t="inlineStr">
        <is>
          <t>Records affected</t>
        </is>
      </c>
      <c r="C3" s="3" t="inlineStr">
        <is>
          <t>Why it matters</t>
        </is>
      </c>
    </row>
    <row r="4" ht="34" customHeight="1">
      <c r="A4" t="inlineStr">
        <is>
          <t>Sector sentinel "0" -&gt; Unclassified</t>
        </is>
      </c>
      <c r="B4" t="n">
        <v>64</v>
      </c>
      <c r="C4" s="8" t="inlineStr">
        <is>
          <t>Source encodes undisclosed sector as the string "0"; left as-is it appears as a sector named "0" in the breakdown.</t>
        </is>
      </c>
    </row>
    <row r="5" ht="34" customHeight="1">
      <c r="A5" s="10" t="inlineStr">
        <is>
          <t>Sector missing (true NaN) -&gt; Unclassified</t>
        </is>
      </c>
      <c r="B5" s="10" t="n">
        <v>1</v>
      </c>
      <c r="C5" s="11" t="inlineStr">
        <is>
          <t>Grouped with the sentinel rows so unclassified volume is explicit.</t>
        </is>
      </c>
    </row>
    <row r="6" ht="34" customHeight="1">
      <c r="A6" t="inlineStr">
        <is>
          <t>Sector labels folded (34 raw -&gt; 11 canonical)</t>
        </is>
      </c>
      <c r="B6" t="n">
        <v>140</v>
      </c>
      <c r="C6" s="8" t="inlineStr">
        <is>
          <t>e.g. Financials/Financial/Finance/Banks/Commercial Bank all denote the same group; unfolded they split one sector across several rows.</t>
        </is>
      </c>
    </row>
    <row r="7" ht="34" customHeight="1">
      <c r="A7" s="10" t="inlineStr">
        <is>
          <t>Country duplicate labels folded</t>
        </is>
      </c>
      <c r="B7" s="10" t="n">
        <v>42</v>
      </c>
      <c r="C7" s="11" t="inlineStr">
        <is>
          <t>USA/United States, UK/United Kingdom, China_HK, Supernational/Supranational — split volume across rows and inflated the country count.</t>
        </is>
      </c>
    </row>
    <row r="8" ht="34" customHeight="1">
      <c r="A8" t="inlineStr">
        <is>
          <t>Country whitespace stripped</t>
        </is>
      </c>
      <c r="B8" t="n">
        <v>1</v>
      </c>
      <c r="C8" s="8" t="inlineStr">
        <is>
          <t>"Netherlands " (trailing space) was aggregating separately from "Netherlands".</t>
        </is>
      </c>
    </row>
    <row r="9" ht="34" customHeight="1">
      <c r="A9" s="10" t="inlineStr">
        <is>
          <t>Issuer name case variants folded</t>
        </is>
      </c>
      <c r="B9" s="10" t="n">
        <v>1</v>
      </c>
      <c r="C9" s="11" t="inlineStr">
        <is>
          <t>GoodLeap LLC / Goodleap LLC — one issuer counted twice.</t>
        </is>
      </c>
    </row>
    <row r="11">
      <c r="A11" s="6" t="inlineStr">
        <is>
          <t>WHY THIS SHEET EXISTS</t>
        </is>
      </c>
    </row>
    <row r="12">
      <c r="A12" s="9" t="inlineStr">
        <is>
          <t>The source extract is a public dataset, not a curated product, and it is dirty in ways that silently distort the analysis: an undisclosed sector encoded as the string "0" shows up as a sector in its own right, and one country split across two spellings has its volume split too. Every rule above is applied in code (scripts/clean.py) and is reversible — nothing is edited by hand, and the source extract is never modified. The extract itself is not redistributed with this model: CBI's terms of use do not permit it, so what ships here is the derived aggregates in data/aggregates/ (see DATA.md).</t>
        </is>
      </c>
    </row>
    <row r="13"/>
    <row r="15">
      <c r="A15" s="6" t="inlineStr">
        <is>
          <t>KNOWN SOURCE ISSUES NOT CORRECTED</t>
        </is>
      </c>
    </row>
    <row r="16">
      <c r="A16" s="9" t="inlineStr">
        <is>
          <t>Two source records look wrong but have been left as published rather than silently overwritten: Schneider Electric SE (a French issuer) is tagged to the United States, and its 2015 transaction is labelled SLB several years before the SLB market existed — on the SLB sheet this single $0.33bn deal is why 2015 shows a 100% SLB share. Both are flagged here and excluded from narrative conclusions.</t>
        </is>
      </c>
    </row>
    <row r="17"/>
  </sheetData>
  <mergeCells count="3">
    <mergeCell ref="A1:C1"/>
    <mergeCell ref="A12:C13"/>
    <mergeCell ref="A16:C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8" customWidth="1" min="1" max="1"/>
    <col width="12" customWidth="1" min="2" max="2"/>
    <col width="18" customWidth="1" min="3" max="3"/>
    <col width="14" customWidth="1" min="4" max="4"/>
    <col width="14" customWidth="1" min="5" max="5"/>
  </cols>
  <sheetData>
    <row r="1" ht="22" customHeight="1">
      <c r="A1" s="1" t="inlineStr">
        <is>
          <t>ANNUAL ISSUANCE (2015–2024)</t>
        </is>
      </c>
    </row>
    <row r="3">
      <c r="A3" s="3" t="inlineStr">
        <is>
          <t>Year</t>
        </is>
      </c>
      <c r="B3" s="3" t="inlineStr">
        <is>
          <t>Deals</t>
        </is>
      </c>
      <c r="C3" s="3" t="inlineStr">
        <is>
          <t>Volume (USD bn)</t>
        </is>
      </c>
      <c r="D3" s="3" t="inlineStr">
        <is>
          <t>YoY deals %</t>
        </is>
      </c>
      <c r="E3" s="3" t="inlineStr">
        <is>
          <t>YoY volume %</t>
        </is>
      </c>
    </row>
    <row r="4">
      <c r="A4" t="n">
        <v>2015</v>
      </c>
      <c r="B4" t="n">
        <v>1</v>
      </c>
      <c r="C4" s="12" t="n">
        <v>0.33</v>
      </c>
      <c r="D4" s="13" t="n"/>
      <c r="E4" s="13" t="n"/>
    </row>
    <row r="5">
      <c r="A5" s="10" t="n">
        <v>2016</v>
      </c>
      <c r="B5" s="10" t="n">
        <v>1</v>
      </c>
      <c r="C5" s="14" t="n">
        <v>0.78</v>
      </c>
      <c r="D5" s="15" t="n">
        <v>0</v>
      </c>
      <c r="E5" s="15" t="n">
        <v>133.75</v>
      </c>
    </row>
    <row r="6">
      <c r="A6" t="n">
        <v>2017</v>
      </c>
      <c r="B6" t="n">
        <v>7</v>
      </c>
      <c r="C6" s="12" t="n">
        <v>10.79</v>
      </c>
      <c r="D6" s="13" t="n">
        <v>600</v>
      </c>
      <c r="E6" s="13" t="n">
        <v>1285.35</v>
      </c>
    </row>
    <row r="7">
      <c r="A7" s="10" t="n">
        <v>2018</v>
      </c>
      <c r="B7" s="10" t="n">
        <v>10</v>
      </c>
      <c r="C7" s="14" t="n">
        <v>17.57</v>
      </c>
      <c r="D7" s="15" t="n">
        <v>42.86</v>
      </c>
      <c r="E7" s="15" t="n">
        <v>62.76</v>
      </c>
    </row>
    <row r="8">
      <c r="A8" t="n">
        <v>2019</v>
      </c>
      <c r="B8" t="n">
        <v>20</v>
      </c>
      <c r="C8" s="12" t="n">
        <v>25.16</v>
      </c>
      <c r="D8" s="13" t="n">
        <v>100</v>
      </c>
      <c r="E8" s="13" t="n">
        <v>43.2</v>
      </c>
    </row>
    <row r="9">
      <c r="A9" s="10" t="n">
        <v>2020</v>
      </c>
      <c r="B9" s="10" t="n">
        <v>36</v>
      </c>
      <c r="C9" s="14" t="n">
        <v>44.88</v>
      </c>
      <c r="D9" s="15" t="n">
        <v>80</v>
      </c>
      <c r="E9" s="15" t="n">
        <v>78.41</v>
      </c>
    </row>
    <row r="10">
      <c r="A10" t="n">
        <v>2021</v>
      </c>
      <c r="B10" t="n">
        <v>85</v>
      </c>
      <c r="C10" s="12" t="n">
        <v>128.38</v>
      </c>
      <c r="D10" s="13" t="n">
        <v>136.11</v>
      </c>
      <c r="E10" s="13" t="n">
        <v>186.03</v>
      </c>
    </row>
    <row r="11">
      <c r="A11" s="10" t="n">
        <v>2022</v>
      </c>
      <c r="B11" s="10" t="n">
        <v>169</v>
      </c>
      <c r="C11" s="14" t="n">
        <v>140.35</v>
      </c>
      <c r="D11" s="15" t="n">
        <v>98.81999999999999</v>
      </c>
      <c r="E11" s="15" t="n">
        <v>9.33</v>
      </c>
    </row>
    <row r="12">
      <c r="A12" t="n">
        <v>2023</v>
      </c>
      <c r="B12" t="n">
        <v>238</v>
      </c>
      <c r="C12" s="12" t="n">
        <v>184.53</v>
      </c>
      <c r="D12" s="13" t="n">
        <v>40.83</v>
      </c>
      <c r="E12" s="13" t="n">
        <v>31.48</v>
      </c>
    </row>
    <row r="13">
      <c r="A13" s="10" t="n">
        <v>2024</v>
      </c>
      <c r="B13" s="10" t="n">
        <v>165</v>
      </c>
      <c r="C13" s="14" t="n">
        <v>97.28</v>
      </c>
      <c r="D13" s="15" t="n">
        <v>-30.67</v>
      </c>
      <c r="E13" s="15" t="n">
        <v>-47.29</v>
      </c>
    </row>
    <row r="15">
      <c r="A15" s="9" t="inlineStr">
        <is>
          <t>2024 is a partial year in this extract — treat its negative YoY as a data cut-off, not a market contraction. 2015–2017 are included for completeness but are too thin to support YoY inference.</t>
        </is>
      </c>
    </row>
    <row r="16"/>
  </sheetData>
  <mergeCells count="2">
    <mergeCell ref="A1:E1"/>
    <mergeCell ref="A15:E1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20" customWidth="1" min="1" max="1"/>
    <col width="10" customWidth="1" min="2" max="2"/>
    <col width="18" customWidth="1" min="3" max="3"/>
    <col width="18" customWidth="1" min="4" max="4"/>
  </cols>
  <sheetData>
    <row r="1" ht="22" customHeight="1">
      <c r="A1" s="1" t="inlineStr">
        <is>
          <t>TOP COUNTRIES BY ISSUANCE VOLUME</t>
        </is>
      </c>
    </row>
    <row r="3">
      <c r="A3" s="3" t="inlineStr">
        <is>
          <t>Country</t>
        </is>
      </c>
      <c r="B3" s="3" t="inlineStr">
        <is>
          <t>Deals</t>
        </is>
      </c>
      <c r="C3" s="3" t="inlineStr">
        <is>
          <t>Volume (USD bn)</t>
        </is>
      </c>
      <c r="D3" s="3" t="inlineStr">
        <is>
          <t>Share of volume %</t>
        </is>
      </c>
    </row>
    <row r="4">
      <c r="A4" t="inlineStr">
        <is>
          <t>Germany</t>
        </is>
      </c>
      <c r="B4" t="n">
        <v>58</v>
      </c>
      <c r="C4" s="12" t="n">
        <v>95.17</v>
      </c>
      <c r="D4" s="16" t="n">
        <v>14.64</v>
      </c>
    </row>
    <row r="5">
      <c r="A5" s="10" t="inlineStr">
        <is>
          <t>France</t>
        </is>
      </c>
      <c r="B5" s="10" t="n">
        <v>42</v>
      </c>
      <c r="C5" s="14" t="n">
        <v>82.18000000000001</v>
      </c>
      <c r="D5" s="17" t="n">
        <v>12.64</v>
      </c>
    </row>
    <row r="6">
      <c r="A6" t="inlineStr">
        <is>
          <t>UK</t>
        </is>
      </c>
      <c r="B6" t="n">
        <v>20</v>
      </c>
      <c r="C6" s="12" t="n">
        <v>59.79</v>
      </c>
      <c r="D6" s="16" t="n">
        <v>9.199999999999999</v>
      </c>
    </row>
    <row r="7">
      <c r="A7" s="10" t="inlineStr">
        <is>
          <t>Italy</t>
        </is>
      </c>
      <c r="B7" s="10" t="n">
        <v>16</v>
      </c>
      <c r="C7" s="14" t="n">
        <v>45.92</v>
      </c>
      <c r="D7" s="17" t="n">
        <v>7.06</v>
      </c>
    </row>
    <row r="8">
      <c r="A8" t="inlineStr">
        <is>
          <t>Chile</t>
        </is>
      </c>
      <c r="B8" t="n">
        <v>36</v>
      </c>
      <c r="C8" s="12" t="n">
        <v>37.55</v>
      </c>
      <c r="D8" s="16" t="n">
        <v>5.78</v>
      </c>
    </row>
    <row r="9">
      <c r="A9" s="10" t="inlineStr">
        <is>
          <t>China</t>
        </is>
      </c>
      <c r="B9" s="10" t="n">
        <v>68</v>
      </c>
      <c r="C9" s="14" t="n">
        <v>33.07</v>
      </c>
      <c r="D9" s="17" t="n">
        <v>5.09</v>
      </c>
    </row>
    <row r="10">
      <c r="A10" t="inlineStr">
        <is>
          <t>Netherlands</t>
        </is>
      </c>
      <c r="B10" t="n">
        <v>21</v>
      </c>
      <c r="C10" s="12" t="n">
        <v>29.58</v>
      </c>
      <c r="D10" s="16" t="n">
        <v>4.55</v>
      </c>
    </row>
    <row r="11">
      <c r="A11" s="10" t="inlineStr">
        <is>
          <t>Hong Kong SAR</t>
        </is>
      </c>
      <c r="B11" s="10" t="n">
        <v>35</v>
      </c>
      <c r="C11" s="14" t="n">
        <v>26.87</v>
      </c>
      <c r="D11" s="17" t="n">
        <v>4.13</v>
      </c>
    </row>
    <row r="12">
      <c r="A12" t="inlineStr">
        <is>
          <t>Austria</t>
        </is>
      </c>
      <c r="B12" t="n">
        <v>18</v>
      </c>
      <c r="C12" s="12" t="n">
        <v>21.79</v>
      </c>
      <c r="D12" s="16" t="n">
        <v>3.35</v>
      </c>
    </row>
    <row r="13">
      <c r="A13" s="10" t="inlineStr">
        <is>
          <t>Belgium</t>
        </is>
      </c>
      <c r="B13" s="10" t="n">
        <v>28</v>
      </c>
      <c r="C13" s="14" t="n">
        <v>21.28</v>
      </c>
      <c r="D13" s="17" t="n">
        <v>3.27</v>
      </c>
    </row>
    <row r="14">
      <c r="A14" t="inlineStr">
        <is>
          <t>USA</t>
        </is>
      </c>
      <c r="B14" t="n">
        <v>61</v>
      </c>
      <c r="C14" s="12" t="n">
        <v>21.05</v>
      </c>
      <c r="D14" s="16" t="n">
        <v>3.24</v>
      </c>
    </row>
    <row r="15">
      <c r="A15" s="10" t="inlineStr">
        <is>
          <t>Mexico</t>
        </is>
      </c>
      <c r="B15" s="10" t="n">
        <v>35</v>
      </c>
      <c r="C15" s="14" t="n">
        <v>17.33</v>
      </c>
      <c r="D15" s="17" t="n">
        <v>2.67</v>
      </c>
    </row>
    <row r="16">
      <c r="A16" t="inlineStr">
        <is>
          <t>Thailand</t>
        </is>
      </c>
      <c r="B16" t="n">
        <v>23</v>
      </c>
      <c r="C16" s="12" t="n">
        <v>13.12</v>
      </c>
      <c r="D16" s="16" t="n">
        <v>2.02</v>
      </c>
    </row>
    <row r="17">
      <c r="A17" s="10" t="inlineStr">
        <is>
          <t>Spain</t>
        </is>
      </c>
      <c r="B17" s="10" t="n">
        <v>6</v>
      </c>
      <c r="C17" s="14" t="n">
        <v>12.9</v>
      </c>
      <c r="D17" s="17" t="n">
        <v>1.98</v>
      </c>
    </row>
    <row r="18">
      <c r="A18" t="inlineStr">
        <is>
          <t>Ireland</t>
        </is>
      </c>
      <c r="B18" t="n">
        <v>6</v>
      </c>
      <c r="C18" s="12" t="n">
        <v>12.19</v>
      </c>
      <c r="D18" s="16" t="n">
        <v>1.88</v>
      </c>
    </row>
    <row r="20">
      <c r="A20" s="9" t="inlineStr">
        <is>
          <t>Ranked by volume rather than deal count: China leads on deal count (68) but ranks 6th by volume, because its issuance in this dataset is many small bank deals while European volume is concentrated in large sovereign programmes. Volume is the more meaningful ranking for where capital moved in this sample.</t>
        </is>
      </c>
    </row>
    <row r="21"/>
  </sheetData>
  <mergeCells count="2">
    <mergeCell ref="A20:D21"/>
    <mergeCell ref="A1:D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0" customWidth="1" min="1" max="1"/>
    <col width="10" customWidth="1" min="2" max="2"/>
    <col width="18" customWidth="1" min="3" max="3"/>
    <col width="18" customWidth="1" min="4" max="4"/>
  </cols>
  <sheetData>
    <row r="1" ht="22" customHeight="1">
      <c r="A1" s="1" t="inlineStr">
        <is>
          <t>ISSUANCE BY SECTOR (NORMALISED TAXONOMY)</t>
        </is>
      </c>
    </row>
    <row r="3">
      <c r="A3" s="3" t="inlineStr">
        <is>
          <t>Sector</t>
        </is>
      </c>
      <c r="B3" s="3" t="inlineStr">
        <is>
          <t>Deals</t>
        </is>
      </c>
      <c r="C3" s="3" t="inlineStr">
        <is>
          <t>Volume (USD bn)</t>
        </is>
      </c>
      <c r="D3" s="3" t="inlineStr">
        <is>
          <t>Share of volume %</t>
        </is>
      </c>
    </row>
    <row r="4">
      <c r="A4" t="inlineStr">
        <is>
          <t>Sovereign</t>
        </is>
      </c>
      <c r="B4" t="n">
        <v>448</v>
      </c>
      <c r="C4" s="12" t="n">
        <v>536.24</v>
      </c>
      <c r="D4" s="16" t="n">
        <v>82.48999999999999</v>
      </c>
    </row>
    <row r="5">
      <c r="A5" s="10" t="inlineStr">
        <is>
          <t>Financials</t>
        </is>
      </c>
      <c r="B5" s="10" t="n">
        <v>95</v>
      </c>
      <c r="C5" s="14" t="n">
        <v>46.21</v>
      </c>
      <c r="D5" s="17" t="n">
        <v>7.11</v>
      </c>
    </row>
    <row r="6">
      <c r="A6" t="inlineStr">
        <is>
          <t>Unclassified</t>
        </is>
      </c>
      <c r="B6" t="n">
        <v>65</v>
      </c>
      <c r="C6" s="12" t="n">
        <v>23.79</v>
      </c>
      <c r="D6" s="16" t="n">
        <v>3.66</v>
      </c>
    </row>
    <row r="7">
      <c r="A7" s="10" t="inlineStr">
        <is>
          <t>Industrials</t>
        </is>
      </c>
      <c r="B7" s="10" t="n">
        <v>53</v>
      </c>
      <c r="C7" s="14" t="n">
        <v>18.09</v>
      </c>
      <c r="D7" s="17" t="n">
        <v>2.78</v>
      </c>
    </row>
    <row r="8">
      <c r="A8" t="inlineStr">
        <is>
          <t>Transport &amp; Logistics</t>
        </is>
      </c>
      <c r="B8" t="n">
        <v>9</v>
      </c>
      <c r="C8" s="12" t="n">
        <v>7.37</v>
      </c>
      <c r="D8" s="16" t="n">
        <v>1.13</v>
      </c>
    </row>
    <row r="9">
      <c r="A9" s="10" t="inlineStr">
        <is>
          <t>Consumer &amp; Agri</t>
        </is>
      </c>
      <c r="B9" s="10" t="n">
        <v>15</v>
      </c>
      <c r="C9" s="14" t="n">
        <v>6.74</v>
      </c>
      <c r="D9" s="17" t="n">
        <v>1.04</v>
      </c>
    </row>
    <row r="10">
      <c r="A10" t="inlineStr">
        <is>
          <t>Energy</t>
        </is>
      </c>
      <c r="B10" t="n">
        <v>12</v>
      </c>
      <c r="C10" s="12" t="n">
        <v>4.51</v>
      </c>
      <c r="D10" s="16" t="n">
        <v>0.6899999999999999</v>
      </c>
    </row>
    <row r="11">
      <c r="A11" s="10" t="inlineStr">
        <is>
          <t>Technology &amp; Communications</t>
        </is>
      </c>
      <c r="B11" s="10" t="n">
        <v>5</v>
      </c>
      <c r="C11" s="14" t="n">
        <v>2.64</v>
      </c>
      <c r="D11" s="17" t="n">
        <v>0.41</v>
      </c>
    </row>
    <row r="12">
      <c r="A12" t="inlineStr">
        <is>
          <t>Utilities</t>
        </is>
      </c>
      <c r="B12" t="n">
        <v>9</v>
      </c>
      <c r="C12" s="12" t="n">
        <v>2.32</v>
      </c>
      <c r="D12" s="16" t="n">
        <v>0.36</v>
      </c>
    </row>
    <row r="13">
      <c r="A13" s="10" t="inlineStr">
        <is>
          <t>Materials</t>
        </is>
      </c>
      <c r="B13" s="10" t="n">
        <v>12</v>
      </c>
      <c r="C13" s="14" t="n">
        <v>1.42</v>
      </c>
      <c r="D13" s="17" t="n">
        <v>0.22</v>
      </c>
    </row>
    <row r="14">
      <c r="A14" t="inlineStr">
        <is>
          <t>Real Estate</t>
        </is>
      </c>
      <c r="B14" t="n">
        <v>7</v>
      </c>
      <c r="C14" s="12" t="n">
        <v>0.44</v>
      </c>
      <c r="D14" s="16" t="n">
        <v>0.07000000000000001</v>
      </c>
    </row>
    <row r="15">
      <c r="A15" s="10" t="inlineStr">
        <is>
          <t>Health Care</t>
        </is>
      </c>
      <c r="B15" s="10" t="n">
        <v>2</v>
      </c>
      <c r="C15" s="14" t="n">
        <v>0.27</v>
      </c>
      <c r="D15" s="17" t="n">
        <v>0.04</v>
      </c>
    </row>
    <row r="17">
      <c r="A17" s="9" t="inlineStr">
        <is>
          <t>The source uses 34 distinct sector labels for what are really 11 groups — 'Financials', 'Financial', 'Finance', 'Banks', 'Commercial Bank', 'Diversified Banks' and 'Financial Institution' all denote the same sector. Folding them is what moves Financials into second place; unfolded, its volume is split across seven rows and none of them ranks. 'Unclassified' is undisclosed sector, not a residual bucket. See sheet 1.</t>
        </is>
      </c>
    </row>
    <row r="18"/>
  </sheetData>
  <mergeCells count="2">
    <mergeCell ref="A1:D1"/>
    <mergeCell ref="A17:D18"/>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18" customWidth="1" min="1" max="1"/>
    <col width="12" customWidth="1" min="2" max="2"/>
    <col width="16" customWidth="1" min="3" max="3"/>
    <col width="18" customWidth="1" min="4" max="4"/>
    <col width="16" customWidth="1" min="5" max="5"/>
    <col width="16" customWidth="1" min="6" max="6"/>
  </cols>
  <sheetData>
    <row r="1" ht="22" customHeight="1">
      <c r="A1" s="1" t="inlineStr">
        <is>
          <t>BOND THEME MIX</t>
        </is>
      </c>
    </row>
    <row r="3">
      <c r="A3" s="6" t="inlineStr">
        <is>
          <t>THEME TOTALS</t>
        </is>
      </c>
    </row>
    <row r="4">
      <c r="A4" s="3" t="inlineStr">
        <is>
          <t>Theme</t>
        </is>
      </c>
      <c r="B4" s="3" t="inlineStr">
        <is>
          <t>Deals</t>
        </is>
      </c>
      <c r="C4" s="3" t="inlineStr">
        <is>
          <t>Volume (USD bn)</t>
        </is>
      </c>
      <c r="D4" s="3" t="inlineStr">
        <is>
          <t>Share of volume %</t>
        </is>
      </c>
      <c r="E4" s="3" t="inlineStr">
        <is>
          <t>Share of deals %</t>
        </is>
      </c>
    </row>
    <row r="5">
      <c r="A5" t="inlineStr">
        <is>
          <t>Green</t>
        </is>
      </c>
      <c r="B5" t="n">
        <v>490</v>
      </c>
      <c r="C5" s="12" t="n">
        <v>527.72</v>
      </c>
      <c r="D5" s="16" t="n">
        <v>81.18000000000001</v>
      </c>
      <c r="E5" s="16" t="n">
        <v>66.94</v>
      </c>
    </row>
    <row r="6">
      <c r="A6" s="10" t="inlineStr">
        <is>
          <t>Sustainability</t>
        </is>
      </c>
      <c r="B6" s="10" t="n">
        <v>109</v>
      </c>
      <c r="C6" s="14" t="n">
        <v>72.48999999999999</v>
      </c>
      <c r="D6" s="17" t="n">
        <v>11.15</v>
      </c>
      <c r="E6" s="17" t="n">
        <v>14.89</v>
      </c>
    </row>
    <row r="7">
      <c r="A7" t="inlineStr">
        <is>
          <t>Social</t>
        </is>
      </c>
      <c r="B7" t="n">
        <v>25</v>
      </c>
      <c r="C7" s="12" t="n">
        <v>27.62</v>
      </c>
      <c r="D7" s="16" t="n">
        <v>4.25</v>
      </c>
      <c r="E7" s="16" t="n">
        <v>3.42</v>
      </c>
    </row>
    <row r="8">
      <c r="A8" s="10" t="inlineStr">
        <is>
          <t>SLB</t>
        </is>
      </c>
      <c r="B8" s="10" t="n">
        <v>108</v>
      </c>
      <c r="C8" s="14" t="n">
        <v>22.21</v>
      </c>
      <c r="D8" s="17" t="n">
        <v>3.42</v>
      </c>
      <c r="E8" s="17" t="n">
        <v>14.75</v>
      </c>
    </row>
    <row r="10">
      <c r="A10" s="6" t="inlineStr">
        <is>
          <t>DEAL COUNT BY YEAR x THEME</t>
        </is>
      </c>
    </row>
    <row r="11">
      <c r="A11" s="3" t="inlineStr">
        <is>
          <t>Year</t>
        </is>
      </c>
      <c r="B11" s="3" t="inlineStr">
        <is>
          <t>Green</t>
        </is>
      </c>
      <c r="C11" s="3" t="inlineStr">
        <is>
          <t>SLB</t>
        </is>
      </c>
      <c r="D11" s="3" t="inlineStr">
        <is>
          <t>Social</t>
        </is>
      </c>
      <c r="E11" s="3" t="inlineStr">
        <is>
          <t>Sustainability</t>
        </is>
      </c>
    </row>
    <row r="12">
      <c r="A12" t="n">
        <v>2015</v>
      </c>
      <c r="B12" t="n">
        <v>0</v>
      </c>
      <c r="C12" t="n">
        <v>1</v>
      </c>
      <c r="D12" t="n">
        <v>0</v>
      </c>
      <c r="E12" t="n">
        <v>0</v>
      </c>
    </row>
    <row r="13">
      <c r="A13" s="10" t="n">
        <v>2016</v>
      </c>
      <c r="B13" s="10" t="n">
        <v>1</v>
      </c>
      <c r="C13" s="10" t="n">
        <v>0</v>
      </c>
      <c r="D13" s="10" t="n">
        <v>0</v>
      </c>
      <c r="E13" s="10" t="n">
        <v>0</v>
      </c>
    </row>
    <row r="14">
      <c r="A14" t="n">
        <v>2017</v>
      </c>
      <c r="B14" t="n">
        <v>7</v>
      </c>
      <c r="C14" t="n">
        <v>0</v>
      </c>
      <c r="D14" t="n">
        <v>0</v>
      </c>
      <c r="E14" t="n">
        <v>0</v>
      </c>
    </row>
    <row r="15">
      <c r="A15" s="10" t="n">
        <v>2018</v>
      </c>
      <c r="B15" s="10" t="n">
        <v>10</v>
      </c>
      <c r="C15" s="10" t="n">
        <v>0</v>
      </c>
      <c r="D15" s="10" t="n">
        <v>0</v>
      </c>
      <c r="E15" s="10" t="n">
        <v>0</v>
      </c>
    </row>
    <row r="16">
      <c r="A16" t="n">
        <v>2019</v>
      </c>
      <c r="B16" t="n">
        <v>19</v>
      </c>
      <c r="C16" t="n">
        <v>0</v>
      </c>
      <c r="D16" t="n">
        <v>0</v>
      </c>
      <c r="E16" t="n">
        <v>1</v>
      </c>
    </row>
    <row r="17">
      <c r="A17" s="10" t="n">
        <v>2020</v>
      </c>
      <c r="B17" s="10" t="n">
        <v>28</v>
      </c>
      <c r="C17" s="10" t="n">
        <v>0</v>
      </c>
      <c r="D17" s="10" t="n">
        <v>4</v>
      </c>
      <c r="E17" s="10" t="n">
        <v>4</v>
      </c>
    </row>
    <row r="18">
      <c r="A18" t="n">
        <v>2021</v>
      </c>
      <c r="B18" t="n">
        <v>40</v>
      </c>
      <c r="C18" t="n">
        <v>11</v>
      </c>
      <c r="D18" t="n">
        <v>13</v>
      </c>
      <c r="E18" t="n">
        <v>21</v>
      </c>
    </row>
    <row r="19">
      <c r="A19" s="10" t="n">
        <v>2022</v>
      </c>
      <c r="B19" s="10" t="n">
        <v>122</v>
      </c>
      <c r="C19" s="10" t="n">
        <v>9</v>
      </c>
      <c r="D19" s="10" t="n">
        <v>0</v>
      </c>
      <c r="E19" s="10" t="n">
        <v>38</v>
      </c>
    </row>
    <row r="20">
      <c r="A20" t="n">
        <v>2023</v>
      </c>
      <c r="B20" t="n">
        <v>165</v>
      </c>
      <c r="C20" t="n">
        <v>33</v>
      </c>
      <c r="D20" t="n">
        <v>7</v>
      </c>
      <c r="E20" t="n">
        <v>33</v>
      </c>
    </row>
    <row r="21">
      <c r="A21" s="10" t="n">
        <v>2024</v>
      </c>
      <c r="B21" s="10" t="n">
        <v>98</v>
      </c>
      <c r="C21" s="10" t="n">
        <v>54</v>
      </c>
      <c r="D21" s="10" t="n">
        <v>1</v>
      </c>
      <c r="E21" s="10" t="n">
        <v>12</v>
      </c>
    </row>
    <row r="23">
      <c r="A23" s="6" t="inlineStr">
        <is>
          <t>USD VOLUME (BN) BY YEAR x THEME</t>
        </is>
      </c>
    </row>
    <row r="24">
      <c r="A24" s="3" t="inlineStr">
        <is>
          <t>Year</t>
        </is>
      </c>
      <c r="B24" s="3" t="inlineStr">
        <is>
          <t>Green</t>
        </is>
      </c>
      <c r="C24" s="3" t="inlineStr">
        <is>
          <t>SLB</t>
        </is>
      </c>
      <c r="D24" s="3" t="inlineStr">
        <is>
          <t>Social</t>
        </is>
      </c>
      <c r="E24" s="3" t="inlineStr">
        <is>
          <t>Sustainability</t>
        </is>
      </c>
    </row>
    <row r="25">
      <c r="A25" t="n">
        <v>2015</v>
      </c>
      <c r="B25" s="12" t="n">
        <v>0</v>
      </c>
      <c r="C25" s="12" t="n">
        <v>0.33</v>
      </c>
      <c r="D25" s="12" t="n">
        <v>0</v>
      </c>
      <c r="E25" s="12" t="n">
        <v>0</v>
      </c>
    </row>
    <row r="26">
      <c r="A26" s="10" t="n">
        <v>2016</v>
      </c>
      <c r="B26" s="14" t="n">
        <v>0.78</v>
      </c>
      <c r="C26" s="14" t="n">
        <v>0</v>
      </c>
      <c r="D26" s="14" t="n">
        <v>0</v>
      </c>
      <c r="E26" s="14" t="n">
        <v>0</v>
      </c>
    </row>
    <row r="27">
      <c r="A27" t="n">
        <v>2017</v>
      </c>
      <c r="B27" s="12" t="n">
        <v>10.79</v>
      </c>
      <c r="C27" s="12" t="n">
        <v>0</v>
      </c>
      <c r="D27" s="12" t="n">
        <v>0</v>
      </c>
      <c r="E27" s="12" t="n">
        <v>0</v>
      </c>
    </row>
    <row r="28">
      <c r="A28" s="10" t="n">
        <v>2018</v>
      </c>
      <c r="B28" s="14" t="n">
        <v>17.57</v>
      </c>
      <c r="C28" s="14" t="n">
        <v>0</v>
      </c>
      <c r="D28" s="14" t="n">
        <v>0</v>
      </c>
      <c r="E28" s="14" t="n">
        <v>0</v>
      </c>
    </row>
    <row r="29">
      <c r="A29" t="n">
        <v>2019</v>
      </c>
      <c r="B29" s="12" t="n">
        <v>24.66</v>
      </c>
      <c r="C29" s="12" t="n">
        <v>0</v>
      </c>
      <c r="D29" s="12" t="n">
        <v>0</v>
      </c>
      <c r="E29" s="12" t="n">
        <v>0.5</v>
      </c>
    </row>
    <row r="30">
      <c r="A30" s="10" t="n">
        <v>2020</v>
      </c>
      <c r="B30" s="14" t="n">
        <v>37.92</v>
      </c>
      <c r="C30" s="14" t="n">
        <v>0</v>
      </c>
      <c r="D30" s="14" t="n">
        <v>3</v>
      </c>
      <c r="E30" s="14" t="n">
        <v>3.96</v>
      </c>
    </row>
    <row r="31">
      <c r="A31" t="n">
        <v>2021</v>
      </c>
      <c r="B31" s="12" t="n">
        <v>92.20999999999999</v>
      </c>
      <c r="C31" s="12" t="n">
        <v>3.36</v>
      </c>
      <c r="D31" s="12" t="n">
        <v>17.03</v>
      </c>
      <c r="E31" s="12" t="n">
        <v>15.77</v>
      </c>
    </row>
    <row r="32">
      <c r="A32" s="10" t="n">
        <v>2022</v>
      </c>
      <c r="B32" s="14" t="n">
        <v>118.19</v>
      </c>
      <c r="C32" s="14" t="n">
        <v>1.69</v>
      </c>
      <c r="D32" s="14" t="n">
        <v>0</v>
      </c>
      <c r="E32" s="14" t="n">
        <v>20.46</v>
      </c>
    </row>
    <row r="33">
      <c r="A33" t="n">
        <v>2023</v>
      </c>
      <c r="B33" s="12" t="n">
        <v>148.73</v>
      </c>
      <c r="C33" s="12" t="n">
        <v>5.31</v>
      </c>
      <c r="D33" s="12" t="n">
        <v>5.9</v>
      </c>
      <c r="E33" s="12" t="n">
        <v>24.6</v>
      </c>
    </row>
    <row r="34">
      <c r="A34" s="10" t="n">
        <v>2024</v>
      </c>
      <c r="B34" s="14" t="n">
        <v>76.87</v>
      </c>
      <c r="C34" s="14" t="n">
        <v>11.52</v>
      </c>
      <c r="D34" s="14" t="n">
        <v>1.7</v>
      </c>
      <c r="E34" s="14" t="n">
        <v>7.19</v>
      </c>
    </row>
    <row r="36">
      <c r="A36" s="9" t="inlineStr">
        <is>
          <t>Deal count and volume tell different stories: SLBs are ~15% of deals but ~3% of volume, so SLB activity is many small transactions rather than a shift in where the money is. Both views are shown rather than one.</t>
        </is>
      </c>
    </row>
    <row r="37"/>
  </sheetData>
  <mergeCells count="2">
    <mergeCell ref="A1:F1"/>
    <mergeCell ref="A36:F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6" customWidth="1" min="2" max="2"/>
    <col width="14" customWidth="1" min="3" max="3"/>
    <col width="20" customWidth="1" min="4" max="4"/>
    <col width="18" customWidth="1" min="5" max="5"/>
    <col width="20" customWidth="1" min="6" max="6"/>
    <col width="4" customWidth="1" min="7" max="7"/>
    <col width="16" customWidth="1" min="8" max="8"/>
  </cols>
  <sheetData>
    <row r="1" ht="22" customHeight="1">
      <c r="A1" s="1" t="inlineStr">
        <is>
          <t>SUSTAINABILITY-LINKED BONDS (SLB) — MARKET ANALYSIS</t>
        </is>
      </c>
    </row>
    <row r="2">
      <c r="A2" s="2" t="inlineStr">
        <is>
          <t>SLBs tie the coupon to KPI performance rather than to use of proceeds — the same mechanism as the margin ratchet modelled in Project 2.</t>
        </is>
      </c>
    </row>
    <row r="3">
      <c r="A3" s="3" t="inlineStr">
        <is>
          <t>Year</t>
        </is>
      </c>
      <c r="B3" s="3" t="inlineStr">
        <is>
          <t>Green (USD bn)</t>
        </is>
      </c>
      <c r="C3" s="3" t="inlineStr">
        <is>
          <t>SLB (USD bn)</t>
        </is>
      </c>
      <c r="D3" s="3" t="inlineStr">
        <is>
          <t>All themes (USD bn)</t>
        </is>
      </c>
      <c r="E3" s="3" t="inlineStr">
        <is>
          <t>SLB % of green+SLB</t>
        </is>
      </c>
      <c r="F3" s="3" t="inlineStr">
        <is>
          <t>SLB % of all issuance</t>
        </is>
      </c>
    </row>
    <row r="4">
      <c r="A4" t="n">
        <v>2015</v>
      </c>
      <c r="B4" s="12" t="n">
        <v>0</v>
      </c>
      <c r="C4" s="12" t="n">
        <v>0.33</v>
      </c>
      <c r="D4" s="12" t="n">
        <v>0.33</v>
      </c>
      <c r="E4" s="16" t="n">
        <v>100</v>
      </c>
      <c r="F4" s="16" t="n">
        <v>100</v>
      </c>
    </row>
    <row r="5">
      <c r="A5" s="10" t="n">
        <v>2016</v>
      </c>
      <c r="B5" s="14" t="n">
        <v>0.78</v>
      </c>
      <c r="C5" s="14" t="n">
        <v>0</v>
      </c>
      <c r="D5" s="14" t="n">
        <v>0.78</v>
      </c>
      <c r="E5" s="17" t="n">
        <v>0</v>
      </c>
      <c r="F5" s="17" t="n">
        <v>0</v>
      </c>
    </row>
    <row r="6">
      <c r="A6" t="n">
        <v>2017</v>
      </c>
      <c r="B6" s="12" t="n">
        <v>10.79</v>
      </c>
      <c r="C6" s="12" t="n">
        <v>0</v>
      </c>
      <c r="D6" s="12" t="n">
        <v>10.79</v>
      </c>
      <c r="E6" s="16" t="n">
        <v>0</v>
      </c>
      <c r="F6" s="16" t="n">
        <v>0</v>
      </c>
    </row>
    <row r="7">
      <c r="A7" s="10" t="n">
        <v>2018</v>
      </c>
      <c r="B7" s="14" t="n">
        <v>17.57</v>
      </c>
      <c r="C7" s="14" t="n">
        <v>0</v>
      </c>
      <c r="D7" s="14" t="n">
        <v>17.57</v>
      </c>
      <c r="E7" s="17" t="n">
        <v>0</v>
      </c>
      <c r="F7" s="17" t="n">
        <v>0</v>
      </c>
    </row>
    <row r="8">
      <c r="A8" t="n">
        <v>2019</v>
      </c>
      <c r="B8" s="12" t="n">
        <v>24.66</v>
      </c>
      <c r="C8" s="12" t="n">
        <v>0</v>
      </c>
      <c r="D8" s="12" t="n">
        <v>25.16</v>
      </c>
      <c r="E8" s="16" t="n">
        <v>0</v>
      </c>
      <c r="F8" s="16" t="n">
        <v>0</v>
      </c>
    </row>
    <row r="9">
      <c r="A9" s="10" t="n">
        <v>2020</v>
      </c>
      <c r="B9" s="14" t="n">
        <v>37.92</v>
      </c>
      <c r="C9" s="14" t="n">
        <v>0</v>
      </c>
      <c r="D9" s="14" t="n">
        <v>44.88</v>
      </c>
      <c r="E9" s="17" t="n">
        <v>0</v>
      </c>
      <c r="F9" s="17" t="n">
        <v>0</v>
      </c>
    </row>
    <row r="10">
      <c r="A10" t="n">
        <v>2021</v>
      </c>
      <c r="B10" s="12" t="n">
        <v>92.20999999999999</v>
      </c>
      <c r="C10" s="12" t="n">
        <v>3.36</v>
      </c>
      <c r="D10" s="12" t="n">
        <v>128.38</v>
      </c>
      <c r="E10" s="16" t="n">
        <v>3.51</v>
      </c>
      <c r="F10" s="16" t="n">
        <v>2.61</v>
      </c>
    </row>
    <row r="11">
      <c r="A11" s="10" t="n">
        <v>2022</v>
      </c>
      <c r="B11" s="14" t="n">
        <v>118.19</v>
      </c>
      <c r="C11" s="14" t="n">
        <v>1.69</v>
      </c>
      <c r="D11" s="14" t="n">
        <v>140.35</v>
      </c>
      <c r="E11" s="17" t="n">
        <v>1.41</v>
      </c>
      <c r="F11" s="17" t="n">
        <v>1.21</v>
      </c>
    </row>
    <row r="12">
      <c r="A12" t="n">
        <v>2023</v>
      </c>
      <c r="B12" s="12" t="n">
        <v>148.73</v>
      </c>
      <c r="C12" s="12" t="n">
        <v>5.31</v>
      </c>
      <c r="D12" s="12" t="n">
        <v>184.53</v>
      </c>
      <c r="E12" s="16" t="n">
        <v>3.45</v>
      </c>
      <c r="F12" s="16" t="n">
        <v>2.88</v>
      </c>
    </row>
    <row r="13">
      <c r="A13" s="10" t="n">
        <v>2024</v>
      </c>
      <c r="B13" s="14" t="n">
        <v>76.87</v>
      </c>
      <c r="C13" s="14" t="n">
        <v>11.52</v>
      </c>
      <c r="D13" s="14" t="n">
        <v>97.28</v>
      </c>
      <c r="E13" s="17" t="n">
        <v>13.03</v>
      </c>
      <c r="F13" s="17" t="n">
        <v>11.84</v>
      </c>
    </row>
    <row r="15">
      <c r="A15" s="6" t="inlineStr">
        <is>
          <t>LARGEST SLB ISSUERS BY VOLUME</t>
        </is>
      </c>
    </row>
    <row r="16">
      <c r="A16" s="3" t="inlineStr">
        <is>
          <t>Issuer Name</t>
        </is>
      </c>
      <c r="B16" s="3" t="inlineStr">
        <is>
          <t>Deals</t>
        </is>
      </c>
      <c r="C16" s="3" t="inlineStr">
        <is>
          <t>Volume (USD bn)</t>
        </is>
      </c>
      <c r="D16" s="3" t="inlineStr">
        <is>
          <t>Country</t>
        </is>
      </c>
    </row>
    <row r="17">
      <c r="A17" t="inlineStr">
        <is>
          <t>JBS USA Holding Lux Sarl/ JBS USA Food Co/ JBS Lux Co Sarl</t>
        </is>
      </c>
      <c r="B17" t="n">
        <v>2</v>
      </c>
      <c r="C17" s="12" t="n">
        <v>1.97</v>
      </c>
      <c r="D17" t="inlineStr">
        <is>
          <t>USA</t>
        </is>
      </c>
    </row>
    <row r="18">
      <c r="A18" s="10" t="inlineStr">
        <is>
          <t>Enel Finance International NV</t>
        </is>
      </c>
      <c r="B18" s="10" t="n">
        <v>2</v>
      </c>
      <c r="C18" s="14" t="n">
        <v>1.85</v>
      </c>
      <c r="D18" s="10" t="inlineStr">
        <is>
          <t>Italy</t>
        </is>
      </c>
    </row>
    <row r="19">
      <c r="A19" t="inlineStr">
        <is>
          <t>Nordea Bank Abp</t>
        </is>
      </c>
      <c r="B19" t="n">
        <v>1</v>
      </c>
      <c r="C19" s="12" t="n">
        <v>1.11</v>
      </c>
      <c r="D19" t="inlineStr">
        <is>
          <t>Finland</t>
        </is>
      </c>
    </row>
    <row r="20">
      <c r="A20" s="10" t="inlineStr">
        <is>
          <t>Autostrade per l'Italia SpA</t>
        </is>
      </c>
      <c r="B20" s="10" t="n">
        <v>2</v>
      </c>
      <c r="C20" s="14" t="n">
        <v>1.09</v>
      </c>
      <c r="D20" s="10" t="inlineStr">
        <is>
          <t>Italy</t>
        </is>
      </c>
    </row>
    <row r="21">
      <c r="A21" t="inlineStr">
        <is>
          <t>Snam SpA</t>
        </is>
      </c>
      <c r="B21" t="n">
        <v>1</v>
      </c>
      <c r="C21" s="12" t="n">
        <v>1.09</v>
      </c>
      <c r="D21" t="inlineStr">
        <is>
          <t>Italy</t>
        </is>
      </c>
    </row>
    <row r="22">
      <c r="A22" s="10" t="inlineStr">
        <is>
          <t>JBS USA Food Co</t>
        </is>
      </c>
      <c r="B22" s="10" t="n">
        <v>1</v>
      </c>
      <c r="C22" s="14" t="n">
        <v>1</v>
      </c>
      <c r="D22" s="10" t="inlineStr">
        <is>
          <t>USA</t>
        </is>
      </c>
    </row>
    <row r="23">
      <c r="A23" t="inlineStr">
        <is>
          <t>Goldstory SAS</t>
        </is>
      </c>
      <c r="B23" t="n">
        <v>2</v>
      </c>
      <c r="C23" s="12" t="n">
        <v>0.92</v>
      </c>
      <c r="D23" t="inlineStr">
        <is>
          <t>France</t>
        </is>
      </c>
    </row>
    <row r="24">
      <c r="A24" s="10" t="inlineStr">
        <is>
          <t>Proximus SADP</t>
        </is>
      </c>
      <c r="B24" s="10" t="n">
        <v>1</v>
      </c>
      <c r="C24" s="14" t="n">
        <v>0.83</v>
      </c>
      <c r="D24" s="10" t="inlineStr">
        <is>
          <t>Belgium</t>
        </is>
      </c>
    </row>
    <row r="25">
      <c r="A25" t="inlineStr">
        <is>
          <t>RCI Banque SA</t>
        </is>
      </c>
      <c r="B25" t="n">
        <v>1</v>
      </c>
      <c r="C25" s="12" t="n">
        <v>0.83</v>
      </c>
      <c r="D25" t="inlineStr">
        <is>
          <t>France</t>
        </is>
      </c>
    </row>
    <row r="26">
      <c r="A26" s="10" t="inlineStr">
        <is>
          <t>Mundys SpA</t>
        </is>
      </c>
      <c r="B26" s="10" t="n">
        <v>1</v>
      </c>
      <c r="C26" s="14" t="n">
        <v>0.79</v>
      </c>
      <c r="D26" s="10" t="inlineStr">
        <is>
          <t>Italy</t>
        </is>
      </c>
    </row>
    <row r="28">
      <c r="A28" s="9" t="inlineStr">
        <is>
          <t>Two share measures are reported because they are not interchangeable: SLB % of green+SLB is the like-for-like comparison, while SLB % of all issuance is the market-penetration figure. The 2015 row is a single mislabelled $0.33bn transaction (see sheet 1) and its 100% share is an artefact, not a finding.</t>
        </is>
      </c>
    </row>
    <row r="29"/>
  </sheetData>
  <mergeCells count="2">
    <mergeCell ref="A28:F29"/>
    <mergeCell ref="A1:F1"/>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4" customWidth="1" min="1" max="1"/>
    <col width="10" customWidth="1" min="2" max="2"/>
    <col width="22" customWidth="1" min="3" max="3"/>
    <col width="20" customWidth="1" min="4" max="4"/>
    <col width="26" customWidth="1" min="5" max="5"/>
    <col width="28" customWidth="1" min="6" max="6"/>
  </cols>
  <sheetData>
    <row r="1" ht="22" customHeight="1">
      <c r="A1" s="1" t="inlineStr">
        <is>
          <t>GREENIUM — EVIDENCE AND MEASUREMENT FRAMEWORK</t>
        </is>
      </c>
    </row>
    <row r="3">
      <c r="A3" s="6" t="inlineStr">
        <is>
          <t>SIGN CONVENTION</t>
        </is>
      </c>
    </row>
    <row r="4">
      <c r="A4" s="9" t="inlineStr">
        <is>
          <t>Throughout this workbook the greenium is reported as (green yield − conventional yield) in basis points. A NEGATIVE number means the green bond yields less, i.e. investors accept a lower return to hold it — the greenium exists. This is the convention used in the literature below; the opposite sign convention is also common in practice, so it is stated explicitly here to avoid the ambiguity.</t>
        </is>
      </c>
    </row>
    <row r="5"/>
    <row r="7">
      <c r="A7" s="6" t="inlineStr">
        <is>
          <t>PUBLISHED EVIDENCE</t>
        </is>
      </c>
    </row>
    <row r="8">
      <c r="A8" s="3" t="inlineStr">
        <is>
          <t>Study</t>
        </is>
      </c>
      <c r="B8" s="3" t="inlineStr">
        <is>
          <t>Year</t>
        </is>
      </c>
      <c r="C8" s="3" t="inlineStr">
        <is>
          <t>Market</t>
        </is>
      </c>
      <c r="D8" s="3" t="inlineStr">
        <is>
          <t>Greenium (bps)</t>
        </is>
      </c>
      <c r="E8" s="3" t="inlineStr">
        <is>
          <t>Method</t>
        </is>
      </c>
      <c r="F8" s="3" t="inlineStr">
        <is>
          <t>Reference</t>
        </is>
      </c>
    </row>
    <row r="9">
      <c r="A9" t="inlineStr">
        <is>
          <t>Zerbib (2019)</t>
        </is>
      </c>
      <c r="B9" t="n">
        <v>2019</v>
      </c>
      <c r="C9" t="inlineStr">
        <is>
          <t>Global, 110 bonds</t>
        </is>
      </c>
      <c r="D9" t="inlineStr">
        <is>
          <t>−2</t>
        </is>
      </c>
      <c r="E9" t="inlineStr">
        <is>
          <t>Matched-pair + 2-step OLS</t>
        </is>
      </c>
      <c r="F9" t="inlineStr">
        <is>
          <t>J. Banking &amp; Finance 98, 39–60</t>
        </is>
      </c>
    </row>
    <row r="10">
      <c r="A10" s="10" t="inlineStr">
        <is>
          <t>Löffler, Petreski &amp; Stephan (2021)</t>
        </is>
      </c>
      <c r="B10" s="10" t="n">
        <v>2021</v>
      </c>
      <c r="C10" s="10" t="inlineStr">
        <is>
          <t>Global, primary and secondary</t>
        </is>
      </c>
      <c r="D10" s="10" t="inlineStr">
        <is>
          <t>−15 to −20</t>
        </is>
      </c>
      <c r="E10" s="10" t="inlineStr">
        <is>
          <t>Propensity-score and coarsened exact matching</t>
        </is>
      </c>
      <c r="F10" s="10" t="inlineStr">
        <is>
          <t>Eurasian Econ Rev 11, 1–24</t>
        </is>
      </c>
    </row>
    <row r="11">
      <c r="A11" t="inlineStr">
        <is>
          <t>Caramichael &amp; Rapp (2022)</t>
        </is>
      </c>
      <c r="B11" t="n">
        <v>2022</v>
      </c>
      <c r="C11" t="inlineStr">
        <is>
          <t>Global corporates, at issuance</t>
        </is>
      </c>
      <c r="D11" t="inlineStr">
        <is>
          <t>−8</t>
        </is>
      </c>
      <c r="E11" t="inlineStr">
        <is>
          <t>Fixed-effects panel regression</t>
        </is>
      </c>
      <c r="F11" t="inlineStr">
        <is>
          <t>Fed Intl Finance Disc. Paper 1346</t>
        </is>
      </c>
    </row>
    <row r="12">
      <c r="A12" s="10" t="inlineStr">
        <is>
          <t>Panizza, Shi, Weder di Mauro &amp; Gulati (2025)</t>
        </is>
      </c>
      <c r="B12" s="10" t="n">
        <v>2025</v>
      </c>
      <c r="C12" s="10" t="inlineStr">
        <is>
          <t>Sovereign and sovereign-backed, secondary</t>
        </is>
      </c>
      <c r="D12" s="10" t="inlineStr">
        <is>
          <t>≈ −2 advanced, ≈ −13 emerging</t>
        </is>
      </c>
      <c r="E12" s="10" t="inlineStr">
        <is>
          <t>332 matched pairs</t>
        </is>
      </c>
      <c r="F12" s="10" t="inlineStr">
        <is>
          <t>CEPR Discussion Paper 20817</t>
        </is>
      </c>
    </row>
    <row r="13">
      <c r="A13" t="inlineStr">
        <is>
          <t>Pietsch &amp; Salakhova (2025)</t>
        </is>
      </c>
      <c r="B13" t="n">
        <v>2025</v>
      </c>
      <c r="C13" t="inlineStr">
        <is>
          <t>Euro area, secondary</t>
        </is>
      </c>
      <c r="D13" t="inlineStr">
        <is>
          <t>≈ −3.7 average</t>
        </is>
      </c>
      <c r="E13" t="inlineStr">
        <is>
          <t>k-prototypes matching</t>
        </is>
      </c>
      <c r="F13" t="inlineStr">
        <is>
          <t>Banque de France Working Paper 1010</t>
        </is>
      </c>
    </row>
    <row r="14">
      <c r="A14" s="9" t="inlineStr">
        <is>
          <t>Estimates are not directly comparable: they differ in market, period, primary vs secondary pricing, and matching method. The consistent finding is a small negative premium in developed markets, larger and noisier in emerging markets and in primary issuance.</t>
        </is>
      </c>
    </row>
    <row r="15"/>
    <row r="17">
      <c r="A17" s="6" t="inlineStr">
        <is>
          <t>MEASUREMENT FRAMEWORK — SOVEREIGN GREEN 'TWIN' BONDS</t>
        </is>
      </c>
    </row>
    <row r="18">
      <c r="A18" s="9" t="inlineStr">
        <is>
          <t>The identification problem in greenium work is that no two bonds are truly comparable — maturity, coupon, liquidity and seniority all differ, and the matching assumptions do the heavy lifting. Germany solved this by issuing green Bunds as 'twins': each green Bund has a conventional Bund with the SAME coupon and the SAME maturity date from the SAME issuer. The yield difference is therefore the greenium almost by construction, with no matching model required. France and the UK publish comparable series.</t>
        </is>
      </c>
    </row>
    <row r="19"/>
    <row r="21">
      <c r="A21" s="3" t="inlineStr">
        <is>
          <t>Series</t>
        </is>
      </c>
      <c r="B21" s="3" t="inlineStr">
        <is>
          <t>Publisher</t>
        </is>
      </c>
      <c r="C21" s="3" t="inlineStr">
        <is>
          <t>Where</t>
        </is>
      </c>
      <c r="D21" s="3" t="inlineStr">
        <is>
          <t>What it gives you</t>
        </is>
      </c>
    </row>
    <row r="22" ht="32" customHeight="1">
      <c r="A22" t="inlineStr">
        <is>
          <t>Germany — green twin Bunds</t>
        </is>
      </c>
      <c r="B22" t="inlineStr">
        <is>
          <t>Finanzagentur (Deutsche Finanzagentur)</t>
        </is>
      </c>
      <c r="C22" t="inlineStr">
        <is>
          <t>deutsche-finanzagentur.de</t>
        </is>
      </c>
      <c r="D22" s="8" t="inlineStr">
        <is>
          <t>Daily yields for each green bond and its conventional twin. The cleanest available matched pair.</t>
        </is>
      </c>
    </row>
    <row r="23" ht="32" customHeight="1">
      <c r="A23" s="10" t="inlineStr">
        <is>
          <t>France — OAT verte</t>
        </is>
      </c>
      <c r="B23" s="10" t="inlineStr">
        <is>
          <t>Agence France Trésor</t>
        </is>
      </c>
      <c r="C23" s="10" t="inlineStr">
        <is>
          <t>aft.gouv.fr</t>
        </is>
      </c>
      <c r="D23" s="11" t="inlineStr">
        <is>
          <t>Green OAT yields alongside the conventional OAT curve.</t>
        </is>
      </c>
    </row>
    <row r="24" ht="32" customHeight="1">
      <c r="A24" t="inlineStr">
        <is>
          <t>UK — green gilts</t>
        </is>
      </c>
      <c r="B24" t="inlineStr">
        <is>
          <t>UK Debt Management Office</t>
        </is>
      </c>
      <c r="C24" t="inlineStr">
        <is>
          <t>dmo.gov.uk</t>
        </is>
      </c>
      <c r="D24" s="8" t="inlineStr">
        <is>
          <t>Green gilt prices/yields in the daily gilt close data.</t>
        </is>
      </c>
    </row>
    <row r="25" ht="32" customHeight="1">
      <c r="A25" s="10" t="inlineStr">
        <is>
          <t>Euro area yield curves</t>
        </is>
      </c>
      <c r="B25" s="10" t="inlineStr">
        <is>
          <t>ECB Data Portal</t>
        </is>
      </c>
      <c r="C25" s="10" t="inlineStr">
        <is>
          <t>data.ecb.europa.eu</t>
        </is>
      </c>
      <c r="D25" s="11" t="inlineStr">
        <is>
          <t>Reference curve for spread construction and duration controls.</t>
        </is>
      </c>
    </row>
    <row r="26" ht="32" customHeight="1">
      <c r="A26" t="inlineStr">
        <is>
          <t>Issuance metadata</t>
        </is>
      </c>
      <c r="B26" t="inlineStr">
        <is>
          <t>Climate Bonds Initiative</t>
        </is>
      </c>
      <c r="C26" t="inlineStr">
        <is>
          <t>climatebonds.net</t>
        </is>
      </c>
      <c r="D26" s="8" t="inlineStr">
        <is>
          <t>Labelling, use-of-proceeds category and verification status.</t>
        </is>
      </c>
    </row>
    <row r="28">
      <c r="A28" s="6" t="inlineStr">
        <is>
          <t>METHOD</t>
        </is>
      </c>
    </row>
    <row r="29" ht="28" customHeight="1">
      <c r="A29" s="8" t="inlineStr">
        <is>
          <t>1. For each sovereign green bond, pair it with its conventional twin (Germany) or the nearest-maturity conventional benchmark (France, UK).</t>
        </is>
      </c>
    </row>
    <row r="30" ht="28" customHeight="1">
      <c r="A30" s="8" t="inlineStr">
        <is>
          <t>2. Compute the daily yield difference in bps: green − conventional. Under the convention above, a negative mean is a greenium.</t>
        </is>
      </c>
    </row>
    <row r="31" ht="28" customHeight="1">
      <c r="A31" s="8" t="inlineStr">
        <is>
          <t>3. For non-twin pairs, control for residual maturity mismatch by interpolating the conventional curve to the green bond's exact maturity.</t>
        </is>
      </c>
    </row>
    <row r="32" ht="28" customHeight="1">
      <c r="A32" s="8" t="inlineStr">
        <is>
          <t>4. Control for liquidity using published bid-ask or turnover where available; twins still differ in outstanding size, which is the main remaining confound.</t>
        </is>
      </c>
    </row>
    <row r="33" ht="28" customHeight="1">
      <c r="A33" s="8" t="inlineStr">
        <is>
          <t>5. Test whether the mean difference is distinguishable from zero. The daily spread stays autocorrelated for months and pairs share dates, so use a panel HAC (Driscoll-Kraay) standard error with a long bandwidth, and check the sign against a t-test across pair means.</t>
        </is>
      </c>
    </row>
    <row r="34" ht="28" customHeight="1">
      <c r="A34" s="8" t="inlineStr">
        <is>
          <t>6. Report the distribution, not just the mean — the literature's range (−2 to −20bps) is mostly heterogeneity across issuers and periods.</t>
        </is>
      </c>
    </row>
    <row r="36">
      <c r="A36" s="6" t="inlineStr">
        <is>
          <t>RESULT</t>
        </is>
      </c>
    </row>
    <row r="37">
      <c r="A37" s="9" t="inlineStr">
        <is>
          <t>Measured on this framework: -1.50bps pooled across all nine German green twin pairs, 8,094 paired daily observations from September 2020 to October 2026 (Driscoll-Kraay standard error 0.330 with a 250-day bandwidth, t = -4.5; an earlier 10-lag calculation on the stacked series overstated this as t = -28.7), negative on 99.8% of pair-date observations and on every date's cross-pair average, and down from -4.71bps in 2021 to -0.76bps in 2025. German sovereign only. Reproduce with scripts/fetch_bund_yields.py then scripts/greenium.py; the full write-up is in brief/Green_Bond_Market_Brief.pdf. Every input is published free by the issuer — no paid data subscription is involved, which the earlier terminal-based version of this sheet required.</t>
        </is>
      </c>
    </row>
    <row r="38"/>
  </sheetData>
  <mergeCells count="11">
    <mergeCell ref="A33:F33"/>
    <mergeCell ref="A37:F38"/>
    <mergeCell ref="A30:F30"/>
    <mergeCell ref="A18:F19"/>
    <mergeCell ref="A14:F15"/>
    <mergeCell ref="A1:F1"/>
    <mergeCell ref="A32:F32"/>
    <mergeCell ref="A31:F31"/>
    <mergeCell ref="A34:F34"/>
    <mergeCell ref="A4:F5"/>
    <mergeCell ref="A29:F2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2026-10-09T16:00:12Z</dcterms:created>
  <dcterms:modified xmlns:dcterms="http://purl.org/dc/terms/" xmlns:xsi="http://www.w3.org/2001/XMLSchema-instance" xsi:type="dcterms:W3CDTF">2026-10-09T16:00:12Z</dcterms:modified>
</cp:coreProperties>
</file>