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Borrower Profile" sheetId="1" state="visible" r:id="rId1"/>
    <sheet name="1. KPI Tracker" sheetId="2" state="visible" r:id="rId2"/>
    <sheet name="2. SPT Calibration" sheetId="3" state="visible" r:id="rId3"/>
    <sheet name="3. Margin Ratchet" sheetId="4" state="visible" r:id="rId4"/>
    <sheet name="4. Utilisation Sensitivity" sheetId="5" state="visible" r:id="rId5"/>
    <sheet name="5. Economics &amp; Caveats" sheetId="6" state="visible" r:id="rId6"/>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0;-#,##0.0"/>
  </numFmts>
  <fonts count="9">
    <font>
      <name val="Calibri"/>
      <family val="2"/>
      <color theme="1"/>
      <sz val="11"/>
      <scheme val="minor"/>
    </font>
    <font>
      <b val="1"/>
      <color rgb="00FFFFFF"/>
      <sz val="12"/>
    </font>
    <font>
      <i val="1"/>
      <color rgb="00595959"/>
      <sz val="9"/>
    </font>
    <font>
      <b val="1"/>
      <color rgb="00FFFFFF"/>
    </font>
    <font>
      <b val="1"/>
      <color rgb="002E7D32"/>
      <sz val="11"/>
    </font>
    <font>
      <b val="1"/>
      <color rgb="000000CC"/>
    </font>
    <font>
      <b val="1"/>
      <color rgb="001A7A4A"/>
    </font>
    <font>
      <sz val="9"/>
    </font>
    <font>
      <i val="1"/>
      <color rgb="00C62828"/>
      <sz val="9"/>
    </font>
  </fonts>
  <fills count="6">
    <fill>
      <patternFill/>
    </fill>
    <fill>
      <patternFill patternType="gray125"/>
    </fill>
    <fill>
      <patternFill patternType="solid">
        <fgColor rgb="002E7D32"/>
      </patternFill>
    </fill>
    <fill>
      <patternFill patternType="solid">
        <fgColor rgb="001A7A4A"/>
      </patternFill>
    </fill>
    <fill>
      <patternFill patternType="solid">
        <fgColor rgb="00E8F5E9"/>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vertical="top" wrapText="1"/>
    </xf>
    <xf numFmtId="0" fontId="3" fillId="3" borderId="1" applyAlignment="1" pivotButton="0" quotePrefix="0" xfId="0">
      <alignment horizontal="center" wrapText="1"/>
    </xf>
    <xf numFmtId="0" fontId="0" fillId="0" borderId="1" pivotButton="0" quotePrefix="0" xfId="0"/>
    <xf numFmtId="0" fontId="0" fillId="0" borderId="1" applyAlignment="1" pivotButton="0" quotePrefix="0" xfId="0">
      <alignment wrapText="1"/>
    </xf>
    <xf numFmtId="0" fontId="0" fillId="4" borderId="1" pivotButton="0" quotePrefix="0" xfId="0"/>
    <xf numFmtId="0" fontId="0" fillId="4" borderId="1" applyAlignment="1" pivotButton="0" quotePrefix="0" xfId="0">
      <alignment wrapText="1"/>
    </xf>
    <xf numFmtId="0" fontId="4" fillId="0" borderId="0" pivotButton="0" quotePrefix="0" xfId="0"/>
    <xf numFmtId="3" fontId="5" fillId="5" borderId="1" pivotButton="0" quotePrefix="0" xfId="0"/>
    <xf numFmtId="164" fontId="6" fillId="0" borderId="1" pivotButton="0" quotePrefix="0" xfId="0"/>
    <xf numFmtId="165" fontId="5" fillId="5" borderId="1" pivotButton="0" quotePrefix="0" xfId="0"/>
    <xf numFmtId="0" fontId="2" fillId="0" borderId="0" pivotButton="0" quotePrefix="0" xfId="0"/>
    <xf numFmtId="165" fontId="6" fillId="0" borderId="1" pivotButton="0" quotePrefix="0" xfId="0"/>
    <xf numFmtId="165" fontId="0" fillId="0" borderId="1" pivotButton="0" quotePrefix="0" xfId="0"/>
    <xf numFmtId="164" fontId="0" fillId="0" borderId="1" pivotButton="0" quotePrefix="0" xfId="0"/>
    <xf numFmtId="4" fontId="5" fillId="5" borderId="1" pivotButton="0" quotePrefix="0" xfId="0"/>
    <xf numFmtId="9" fontId="5" fillId="5" borderId="1" pivotButton="0" quotePrefix="0" xfId="0"/>
    <xf numFmtId="166" fontId="5" fillId="5" borderId="1" pivotButton="0" quotePrefix="0" xfId="0"/>
    <xf numFmtId="1" fontId="5" fillId="5" borderId="1" pivotButton="0" quotePrefix="0" xfId="0"/>
    <xf numFmtId="167" fontId="0" fillId="0" borderId="1" pivotButton="0" quotePrefix="0" xfId="0"/>
    <xf numFmtId="166" fontId="0" fillId="0" borderId="1" pivotButton="0" quotePrefix="0" xfId="0"/>
    <xf numFmtId="166" fontId="6" fillId="0" borderId="1" pivotButton="0" quotePrefix="0" xfId="0"/>
    <xf numFmtId="167" fontId="0" fillId="4" borderId="1" pivotButton="0" quotePrefix="0" xfId="0"/>
    <xf numFmtId="165" fontId="0" fillId="4" borderId="1" pivotButton="0" quotePrefix="0" xfId="0"/>
    <xf numFmtId="166" fontId="0" fillId="4" borderId="1" pivotButton="0" quotePrefix="0" xfId="0"/>
    <xf numFmtId="4" fontId="0" fillId="0" borderId="1" pivotButton="0" quotePrefix="0" xfId="0"/>
    <xf numFmtId="167" fontId="6" fillId="0" borderId="1" pivotButton="0" quotePrefix="0" xfId="0"/>
    <xf numFmtId="9" fontId="5" fillId="4" borderId="1" pivotButton="0" quotePrefix="0" xfId="0"/>
    <xf numFmtId="4" fontId="0" fillId="4" borderId="1" pivotButton="0" quotePrefix="0" xfId="0"/>
    <xf numFmtId="167" fontId="6" fillId="4" borderId="1" pivotButton="0" quotePrefix="0" xfId="0"/>
    <xf numFmtId="3" fontId="0" fillId="0" borderId="1" pivotButton="0" quotePrefix="0" xfId="0"/>
    <xf numFmtId="9" fontId="0" fillId="0" borderId="1" pivotButton="0" quotePrefix="0" xfId="0"/>
    <xf numFmtId="0" fontId="7" fillId="0" borderId="0" applyAlignment="1" pivotButton="0" quotePrefix="0" xfId="0">
      <alignment vertical="top" wrapText="1"/>
    </xf>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38" customWidth="1" min="1" max="1"/>
    <col width="62" customWidth="1" min="2" max="2"/>
  </cols>
  <sheetData>
    <row r="1" ht="22" customHeight="1">
      <c r="A1" s="1" t="inlineStr">
        <is>
          <t>SLL STRUCTURING MODEL — ALBION INDUSTRIALS PLC (HYPOTHETICAL)</t>
        </is>
      </c>
    </row>
    <row r="3">
      <c r="A3" s="2" t="inlineStr">
        <is>
          <t>Fictional entity, for illustrative purposes only. No real company financial data is used anywhere in this model. All targets, rates and costs are illustrative.</t>
        </is>
      </c>
    </row>
    <row r="4"/>
    <row r="6">
      <c r="A6" s="3" t="inlineStr">
        <is>
          <t>Attribute</t>
        </is>
      </c>
      <c r="B6" s="3" t="inlineStr">
        <is>
          <t>Value</t>
        </is>
      </c>
    </row>
    <row r="7">
      <c r="A7" s="4" t="inlineStr">
        <is>
          <t>Sector</t>
        </is>
      </c>
      <c r="B7" s="5" t="inlineStr">
        <is>
          <t>UK Heavy Industrials (Steel &amp; Construction Materials)</t>
        </is>
      </c>
    </row>
    <row r="8">
      <c r="A8" s="6" t="inlineStr">
        <is>
          <t>Revenue (hypothetical)</t>
        </is>
      </c>
      <c r="B8" s="7" t="inlineStr">
        <is>
          <t>£2.8bn</t>
        </is>
      </c>
    </row>
    <row r="9">
      <c r="A9" s="4" t="inlineStr">
        <is>
          <t>EBITDA margin (hypothetical)</t>
        </is>
      </c>
      <c r="B9" s="5" t="inlineStr">
        <is>
          <t>11%</t>
        </is>
      </c>
    </row>
    <row r="10">
      <c r="A10" s="6" t="inlineStr">
        <is>
          <t>Existing debt (hypothetical)</t>
        </is>
      </c>
      <c r="B10" s="7" t="inlineStr">
        <is>
          <t>£650m revolving credit facility</t>
        </is>
      </c>
    </row>
    <row r="11">
      <c r="A11" s="4" t="inlineStr">
        <is>
          <t>Credit rating (hypothetical)</t>
        </is>
      </c>
      <c r="B11" s="5" t="inlineStr">
        <is>
          <t>BBB– (investment grade)</t>
        </is>
      </c>
    </row>
    <row r="12">
      <c r="A12" s="6" t="inlineStr">
        <is>
          <t>Scope 1+2 intensity (baseline)</t>
        </is>
      </c>
      <c r="B12" s="7" t="inlineStr">
        <is>
          <t>310 tCO2e per £m revenue</t>
        </is>
      </c>
    </row>
    <row r="13">
      <c r="A13" s="4" t="inlineStr">
        <is>
          <t>Renewable energy share (baseline)</t>
        </is>
      </c>
      <c r="B13" s="5" t="inlineStr">
        <is>
          <t>18%</t>
        </is>
      </c>
    </row>
    <row r="14">
      <c r="A14" s="6" t="inlineStr">
        <is>
          <t>Reference framework</t>
        </is>
      </c>
      <c r="B14" s="7" t="inlineStr">
        <is>
          <t>LMA/APLMA/LSTA Sustainability-Linked Loan Principles (2023)</t>
        </is>
      </c>
    </row>
    <row r="16">
      <c r="A16" s="8" t="inlineStr">
        <is>
          <t>HOW TO USE THIS WORKBOOK</t>
        </is>
      </c>
    </row>
    <row r="17">
      <c r="A17" s="2" t="inlineStr">
        <is>
          <t>Yellow cells are inputs; everything else is a live formula. Sheet 1 tracks KPI progress. Sheet 2 calibrates the SPTs and derives the carbon glide path. Sheet 3 prices the facility — change the utilisation or any rate and the scenario table recalculates. Sheet 4 shows how the ratchet benefit varies with drawdown, and Sheet 5 asks whether the structure pays for itself at all.</t>
        </is>
      </c>
    </row>
    <row r="18"/>
    <row r="19"/>
    <row r="20"/>
    <row r="22">
      <c r="A22" s="8" t="inlineStr">
        <is>
          <t>REPRODUCIBILITY</t>
        </is>
      </c>
    </row>
    <row r="23">
      <c r="A23" s="2" t="inlineStr">
        <is>
          <t>This workbook is generated by scripts/build_model.py from the calculations in scripts/sll.py — it is not hand-maintained. Rebuild it with: python scripts/build_model.py</t>
        </is>
      </c>
    </row>
    <row r="24"/>
  </sheetData>
  <mergeCells count="4">
    <mergeCell ref="A3:B4"/>
    <mergeCell ref="A23:B24"/>
    <mergeCell ref="A1:B1"/>
    <mergeCell ref="A17:B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28" customWidth="1" min="1" max="1"/>
    <col width="40" customWidth="1" min="2" max="2"/>
    <col width="16" customWidth="1" min="3" max="3"/>
    <col width="22" customWidth="1" min="4" max="4"/>
    <col width="18" customWidth="1" min="5" max="5"/>
    <col width="18" customWidth="1" min="6" max="6"/>
  </cols>
  <sheetData>
    <row r="1" ht="22" customHeight="1">
      <c r="A1" s="1" t="inlineStr">
        <is>
          <t>KPI TRACKER — BASELINE VS CURRENT VS TARGET</t>
        </is>
      </c>
    </row>
    <row r="3">
      <c r="A3" s="3" t="inlineStr">
        <is>
          <t>KPI</t>
        </is>
      </c>
      <c r="B3" s="3" t="inlineStr">
        <is>
          <t>Metric</t>
        </is>
      </c>
      <c r="C3" s="3" t="inlineStr">
        <is>
          <t>Baseline (2024)</t>
        </is>
      </c>
      <c r="D3" s="3" t="inlineStr">
        <is>
          <t>Current (2026, hypothetical)</t>
        </is>
      </c>
      <c r="E3" s="3" t="inlineStr">
        <is>
          <t>Target / SPT (2028)</t>
        </is>
      </c>
      <c r="F3" s="3" t="inlineStr">
        <is>
          <t>Progress to target</t>
        </is>
      </c>
    </row>
    <row r="4">
      <c r="A4" s="4" t="inlineStr">
        <is>
          <t>Carbon intensity</t>
        </is>
      </c>
      <c r="B4" s="5" t="inlineStr">
        <is>
          <t>tCO2e per £m revenue (Scope 1+2)</t>
        </is>
      </c>
      <c r="C4" s="4" t="n">
        <v>310</v>
      </c>
      <c r="D4" s="9" t="n">
        <v>267</v>
      </c>
      <c r="E4" s="4" t="n">
        <v>217</v>
      </c>
      <c r="F4" s="10">
        <f>(D4-C4)/(E4-C4)</f>
        <v/>
      </c>
    </row>
    <row r="5">
      <c r="A5" s="4" t="inlineStr">
        <is>
          <t>Renewable energy share</t>
        </is>
      </c>
      <c r="B5" s="5" t="inlineStr">
        <is>
          <t>% of electricity from renewables</t>
        </is>
      </c>
      <c r="C5" s="4" t="n">
        <v>18</v>
      </c>
      <c r="D5" s="9" t="n">
        <v>34</v>
      </c>
      <c r="E5" s="4" t="n">
        <v>60</v>
      </c>
      <c r="F5" s="10">
        <f>(D5-C5)/(E5-C5)</f>
        <v/>
      </c>
    </row>
    <row r="6">
      <c r="A6" s="4" t="inlineStr">
        <is>
          <t>Supply chain audit coverage</t>
        </is>
      </c>
      <c r="B6" s="5" t="inlineStr">
        <is>
          <t>% tier-1 suppliers audited to ESG standards</t>
        </is>
      </c>
      <c r="C6" s="4" t="n">
        <v>35</v>
      </c>
      <c r="D6" s="9" t="n">
        <v>52</v>
      </c>
      <c r="E6" s="4" t="n">
        <v>80</v>
      </c>
      <c r="F6" s="10">
        <f>(D6-C6)/(E6-C6)</f>
        <v/>
      </c>
    </row>
    <row r="8">
      <c r="A8" s="2" t="inlineStr">
        <is>
          <t>Only the yellow 'Current' column is editable — illustrative interim progress, not reported data. Progress is computed as (current − baseline) / (target − baseline), so it reads correctly for carbon intensity (which must fall) and for the two shares (which must rise).</t>
        </is>
      </c>
    </row>
    <row r="9"/>
    <row r="10"/>
  </sheetData>
  <mergeCells count="2">
    <mergeCell ref="A1:F1"/>
    <mergeCell ref="A8:F1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30" customWidth="1" min="1" max="1"/>
    <col width="20" customWidth="1" min="2" max="2"/>
    <col width="14" customWidth="1" min="3" max="3"/>
    <col width="28" customWidth="1" min="4" max="4"/>
    <col width="42" customWidth="1" min="5" max="5"/>
  </cols>
  <sheetData>
    <row r="1" ht="22" customHeight="1">
      <c r="A1" s="1" t="inlineStr">
        <is>
          <t>SUSTAINABILITY PERFORMANCE TARGET CALIBRATION</t>
        </is>
      </c>
    </row>
    <row r="3">
      <c r="A3" s="3" t="inlineStr">
        <is>
          <t>KPI</t>
        </is>
      </c>
      <c r="B3" s="3" t="inlineStr">
        <is>
          <t>Baseline (2024)</t>
        </is>
      </c>
      <c r="C3" s="3" t="inlineStr">
        <is>
          <t>Target year</t>
        </is>
      </c>
      <c r="D3" s="3" t="inlineStr">
        <is>
          <t>SPT</t>
        </is>
      </c>
      <c r="E3" s="3" t="inlineStr">
        <is>
          <t>Benchmark source</t>
        </is>
      </c>
    </row>
    <row r="4">
      <c r="A4" s="7" t="inlineStr">
        <is>
          <t>Carbon intensity</t>
        </is>
      </c>
      <c r="B4" s="7" t="inlineStr">
        <is>
          <t>310 tCO2e/£m rev</t>
        </is>
      </c>
      <c r="C4" s="7" t="n">
        <v>2028</v>
      </c>
      <c r="D4" s="7" t="inlineStr">
        <is>
          <t>&lt;=217 tCO2e/£m rev (-30%)</t>
        </is>
      </c>
      <c r="E4" s="7" t="inlineStr">
        <is>
          <t>SBTi 1.5C near-term pathway (Industrials)</t>
        </is>
      </c>
    </row>
    <row r="5">
      <c r="A5" s="5" t="inlineStr">
        <is>
          <t>Renewable share</t>
        </is>
      </c>
      <c r="B5" s="5" t="inlineStr">
        <is>
          <t>18%</t>
        </is>
      </c>
      <c r="C5" s="5" t="n">
        <v>2028</v>
      </c>
      <c r="D5" s="5" t="inlineStr">
        <is>
          <t>&gt;=60%</t>
        </is>
      </c>
      <c r="E5" s="5" t="inlineStr">
        <is>
          <t>UK Climate Change Committee 6th Carbon Budget</t>
        </is>
      </c>
    </row>
    <row r="6">
      <c r="A6" s="7" t="inlineStr">
        <is>
          <t>Supply chain audit</t>
        </is>
      </c>
      <c r="B6" s="7" t="inlineStr">
        <is>
          <t>35%</t>
        </is>
      </c>
      <c r="C6" s="7" t="n">
        <v>2027</v>
      </c>
      <c r="D6" s="7" t="inlineStr">
        <is>
          <t>&gt;=80%</t>
        </is>
      </c>
      <c r="E6" s="7" t="inlineStr">
        <is>
          <t>LMA SLLP best practice</t>
        </is>
      </c>
    </row>
    <row r="8">
      <c r="A8" s="2" t="inlineStr">
        <is>
          <t>A 30% carbon intensity reduction over four years (~7%/yr) is consistent with the SBTi near-term pathway for Industrials. SLLP guidance requires SPTs to be a material improvement on baseline and benchmarked against a recognised pathway rather than set by the borrower alone.</t>
        </is>
      </c>
    </row>
    <row r="9"/>
    <row r="11">
      <c r="A11" s="8" t="inlineStr">
        <is>
          <t>CARBON INTENSITY GLIDE PATH (linear, baseline → SPT)</t>
        </is>
      </c>
    </row>
    <row r="12">
      <c r="A12" s="4" t="inlineStr">
        <is>
          <t>Baseline</t>
        </is>
      </c>
      <c r="B12" s="11" t="n">
        <v>310</v>
      </c>
      <c r="C12" s="12" t="inlineStr">
        <is>
          <t>← editable</t>
        </is>
      </c>
    </row>
    <row r="13">
      <c r="A13" s="4" t="inlineStr">
        <is>
          <t>2028 SPT</t>
        </is>
      </c>
      <c r="B13" s="11" t="n">
        <v>217</v>
      </c>
    </row>
    <row r="15">
      <c r="A15" s="3" t="inlineStr">
        <is>
          <t>2024</t>
        </is>
      </c>
      <c r="B15" s="3" t="inlineStr">
        <is>
          <t>2025</t>
        </is>
      </c>
      <c r="C15" s="3" t="inlineStr">
        <is>
          <t>2026</t>
        </is>
      </c>
      <c r="D15" s="3" t="inlineStr">
        <is>
          <t>2027</t>
        </is>
      </c>
      <c r="E15" s="3" t="inlineStr">
        <is>
          <t>2028</t>
        </is>
      </c>
    </row>
    <row r="16">
      <c r="A16" s="13">
        <f>$B$12+($B$13-$B$12)*0/4</f>
        <v/>
      </c>
      <c r="B16" s="14">
        <f>$B$12+($B$13-$B$12)*1/4</f>
        <v/>
      </c>
      <c r="C16" s="14">
        <f>$B$12+($B$13-$B$12)*2/4</f>
        <v/>
      </c>
      <c r="D16" s="14">
        <f>$B$12+($B$13-$B$12)*3/4</f>
        <v/>
      </c>
      <c r="E16" s="13">
        <f>$B$12+($B$13-$B$12)*4/4</f>
        <v/>
      </c>
    </row>
    <row r="17">
      <c r="A17" s="12" t="inlineStr">
        <is>
          <t>Annual reduction required (%)</t>
        </is>
      </c>
    </row>
    <row r="18">
      <c r="B18" s="15">
        <f>B16/A16-1</f>
        <v/>
      </c>
      <c r="C18" s="15">
        <f>C16/B16-1</f>
        <v/>
      </c>
      <c r="D18" s="15">
        <f>D16/C16-1</f>
        <v/>
      </c>
      <c r="E18" s="15">
        <f>E16/D16-1</f>
        <v/>
      </c>
    </row>
    <row r="20">
      <c r="A20" s="2" t="inlineStr">
        <is>
          <t>The glide path is formula-driven from the two yellow cells, so changing the baseline or the SPT moves every interim target. Interim SPTs matter because the ratchet is tested annually, not once at maturity.</t>
        </is>
      </c>
    </row>
    <row r="21"/>
  </sheetData>
  <mergeCells count="3">
    <mergeCell ref="A20:E21"/>
    <mergeCell ref="A8:E9"/>
    <mergeCell ref="A1:E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34" customWidth="1" min="1" max="1"/>
    <col width="18" customWidth="1" min="2" max="2"/>
    <col width="16" customWidth="1" min="3" max="3"/>
    <col width="22" customWidth="1" min="4" max="4"/>
    <col width="20" customWidth="1" min="5" max="5"/>
    <col width="18" customWidth="1" min="6" max="6"/>
    <col width="20" customWidth="1" min="7" max="7"/>
  </cols>
  <sheetData>
    <row r="1" ht="22" customHeight="1">
      <c r="A1" s="1" t="inlineStr">
        <is>
          <t>MARGIN RATCHET CALCULATOR (ILLUSTRATIVE)</t>
        </is>
      </c>
    </row>
    <row r="2">
      <c r="A2" s="2" t="inlineStr">
        <is>
          <t>A revolving facility is rarely fully drawn, and the ratchet applies only to the drawn margin — so the benefit scales with utilisation. The undrawn balance carries a commitment fee, conventionally a fixed share of the margin.</t>
        </is>
      </c>
    </row>
    <row r="3"/>
    <row r="4">
      <c r="A4" s="8" t="inlineStr">
        <is>
          <t>INPUTS</t>
        </is>
      </c>
    </row>
    <row r="5">
      <c r="A5" s="4" t="inlineStr">
        <is>
          <t>Facility size (£m)</t>
        </is>
      </c>
      <c r="D5" s="9" t="n">
        <v>650</v>
      </c>
    </row>
    <row r="6">
      <c r="A6" s="4" t="inlineStr">
        <is>
          <t>Base margin (bps over SONIA)</t>
        </is>
      </c>
      <c r="D6" s="11" t="n">
        <v>120</v>
      </c>
    </row>
    <row r="7">
      <c r="A7" s="4" t="inlineStr">
        <is>
          <t>SONIA reference rate (%)</t>
        </is>
      </c>
      <c r="D7" s="16" t="n">
        <v>4.25</v>
      </c>
    </row>
    <row r="8">
      <c r="A8" s="4" t="inlineStr">
        <is>
          <t>Utilisation (% of facility drawn)</t>
        </is>
      </c>
      <c r="D8" s="17" t="n">
        <v>1</v>
      </c>
    </row>
    <row r="9">
      <c r="A9" s="4" t="inlineStr">
        <is>
          <t>Commitment fee (% of margin)</t>
        </is>
      </c>
      <c r="D9" s="17" t="n">
        <v>0.35</v>
      </c>
    </row>
    <row r="10">
      <c r="A10" s="4" t="inlineStr">
        <is>
          <t>Full step (bps) — all 3 SPTs met</t>
        </is>
      </c>
      <c r="D10" s="11" t="n">
        <v>7.5</v>
      </c>
    </row>
    <row r="11">
      <c r="A11" s="4" t="inlineStr">
        <is>
          <t>Partial step (bps) — 2 of 3 met</t>
        </is>
      </c>
      <c r="D11" s="11" t="n">
        <v>2.5</v>
      </c>
    </row>
    <row r="12">
      <c r="A12" s="4" t="inlineStr">
        <is>
          <t>Step-up (bps) — 0 met</t>
        </is>
      </c>
      <c r="D12" s="11" t="n">
        <v>7.5</v>
      </c>
    </row>
    <row r="13">
      <c r="A13" s="4" t="inlineStr">
        <is>
          <t>Annual verification cost (£m)</t>
        </is>
      </c>
      <c r="D13" s="18" t="n">
        <v>0.1</v>
      </c>
    </row>
    <row r="14">
      <c r="A14" s="4" t="inlineStr">
        <is>
          <t>SPTs met this period (0–3)</t>
        </is>
      </c>
      <c r="D14" s="19" t="n">
        <v>3</v>
      </c>
    </row>
    <row r="16">
      <c r="A16" s="8" t="inlineStr">
        <is>
          <t>DERIVED</t>
        </is>
      </c>
    </row>
    <row r="17">
      <c r="A17" s="4" t="inlineStr">
        <is>
          <t>Drawn balance (£m)</t>
        </is>
      </c>
      <c r="D17" s="14">
        <f>'3. Margin Ratchet'!$D$5*'3. Margin Ratchet'!$D$8</f>
        <v/>
      </c>
    </row>
    <row r="18">
      <c r="A18" s="4" t="inlineStr">
        <is>
          <t>Undrawn commitment (£m)</t>
        </is>
      </c>
      <c r="D18" s="14">
        <f>'3. Margin Ratchet'!$D$5*(1-'3. Margin Ratchet'!$D$8)</f>
        <v/>
      </c>
    </row>
    <row r="19">
      <c r="A19" s="4" t="inlineStr">
        <is>
          <t>Commitment fee (bps)</t>
        </is>
      </c>
      <c r="D19" s="14">
        <f>'3. Margin Ratchet'!$D$6*'3. Margin Ratchet'!$D$9</f>
        <v/>
      </c>
    </row>
    <row r="20">
      <c r="A20" s="4" t="inlineStr">
        <is>
          <t>Margin adjustment (bps)</t>
        </is>
      </c>
      <c r="D20" s="20">
        <f>IF('3. Margin Ratchet'!$D$14=3,-'3. Margin Ratchet'!$D$10,IF('3. Margin Ratchet'!$D$14=2,-'3. Margin Ratchet'!$D$11,IF('3. Margin Ratchet'!$D$14=1,0,'3. Margin Ratchet'!$D$12)))</f>
        <v/>
      </c>
    </row>
    <row r="21">
      <c r="A21" s="4" t="inlineStr">
        <is>
          <t>Adjusted margin (bps)</t>
        </is>
      </c>
      <c r="D21" s="14">
        <f>'3. Margin Ratchet'!$D$6+$D$20</f>
        <v/>
      </c>
    </row>
    <row r="22">
      <c r="A22" s="4" t="inlineStr">
        <is>
          <t>All-in rate on drawn (%)</t>
        </is>
      </c>
      <c r="D22" s="21">
        <f>'3. Margin Ratchet'!$D$7+$D$21/100</f>
        <v/>
      </c>
    </row>
    <row r="23">
      <c r="A23" s="4" t="inlineStr">
        <is>
          <t>Interest on drawn (£m)</t>
        </is>
      </c>
      <c r="D23" s="21">
        <f>$D$17*$D$22/100</f>
        <v/>
      </c>
    </row>
    <row r="24">
      <c r="A24" s="4" t="inlineStr">
        <is>
          <t>Commitment fee cost (£m)</t>
        </is>
      </c>
      <c r="D24" s="21">
        <f>$D$18*$D$19/100/100</f>
        <v/>
      </c>
    </row>
    <row r="25">
      <c r="A25" s="4" t="inlineStr">
        <is>
          <t>TOTAL ANNUAL COST (£m)</t>
        </is>
      </c>
      <c r="D25" s="22">
        <f>$D$23+$D$24</f>
        <v/>
      </c>
    </row>
    <row r="27">
      <c r="A27" s="8" t="inlineStr">
        <is>
          <t>SCENARIO COMPARISON (at the inputs above)</t>
        </is>
      </c>
    </row>
    <row r="28">
      <c r="A28" s="3" t="inlineStr">
        <is>
          <t>SPTs met</t>
        </is>
      </c>
      <c r="B28" s="3" t="inlineStr">
        <is>
          <t>Margin adj (bps)</t>
        </is>
      </c>
      <c r="C28" s="3" t="inlineStr">
        <is>
          <t>Margin (bps)</t>
        </is>
      </c>
      <c r="D28" s="3" t="inlineStr">
        <is>
          <t>Interest on drawn (£m)</t>
        </is>
      </c>
      <c r="E28" s="3" t="inlineStr">
        <is>
          <t>Commitment fee (£m)</t>
        </is>
      </c>
      <c r="F28" s="3" t="inlineStr">
        <is>
          <t>Total cost (£m)</t>
        </is>
      </c>
      <c r="G28" s="3" t="inlineStr">
        <is>
          <t>vs no adjustment (£k)</t>
        </is>
      </c>
    </row>
    <row r="29">
      <c r="A29" s="4" t="n">
        <v>3</v>
      </c>
      <c r="B29" s="20">
        <f>IF(A29=3,-'3. Margin Ratchet'!$D$10,IF(A29=2,-'3. Margin Ratchet'!$D$11,IF(A29=1,0,'3. Margin Ratchet'!$D$12)))</f>
        <v/>
      </c>
      <c r="C29" s="14">
        <f>'3. Margin Ratchet'!$D$6+B29</f>
        <v/>
      </c>
      <c r="D29" s="21">
        <f>$D$17*('3. Margin Ratchet'!$D$7+C29/100)/100</f>
        <v/>
      </c>
      <c r="E29" s="21">
        <f>$D$24</f>
        <v/>
      </c>
      <c r="F29" s="21">
        <f>D29+E29</f>
        <v/>
      </c>
      <c r="G29" s="20">
        <f>$D$17*B29/100/100*1000</f>
        <v/>
      </c>
    </row>
    <row r="30">
      <c r="A30" s="6" t="n">
        <v>2</v>
      </c>
      <c r="B30" s="23">
        <f>IF(A30=3,-'3. Margin Ratchet'!$D$10,IF(A30=2,-'3. Margin Ratchet'!$D$11,IF(A30=1,0,'3. Margin Ratchet'!$D$12)))</f>
        <v/>
      </c>
      <c r="C30" s="24">
        <f>'3. Margin Ratchet'!$D$6+B30</f>
        <v/>
      </c>
      <c r="D30" s="25">
        <f>$D$17*('3. Margin Ratchet'!$D$7+C30/100)/100</f>
        <v/>
      </c>
      <c r="E30" s="25">
        <f>$D$24</f>
        <v/>
      </c>
      <c r="F30" s="25">
        <f>D30+E30</f>
        <v/>
      </c>
      <c r="G30" s="23">
        <f>$D$17*B30/100/100*1000</f>
        <v/>
      </c>
    </row>
    <row r="31">
      <c r="A31" s="4" t="n">
        <v>1</v>
      </c>
      <c r="B31" s="20">
        <f>IF(A31=3,-'3. Margin Ratchet'!$D$10,IF(A31=2,-'3. Margin Ratchet'!$D$11,IF(A31=1,0,'3. Margin Ratchet'!$D$12)))</f>
        <v/>
      </c>
      <c r="C31" s="14">
        <f>'3. Margin Ratchet'!$D$6+B31</f>
        <v/>
      </c>
      <c r="D31" s="21">
        <f>$D$17*('3. Margin Ratchet'!$D$7+C31/100)/100</f>
        <v/>
      </c>
      <c r="E31" s="21">
        <f>$D$24</f>
        <v/>
      </c>
      <c r="F31" s="21">
        <f>D31+E31</f>
        <v/>
      </c>
      <c r="G31" s="20">
        <f>$D$17*B31/100/100*1000</f>
        <v/>
      </c>
    </row>
    <row r="32">
      <c r="A32" s="6" t="n">
        <v>0</v>
      </c>
      <c r="B32" s="23">
        <f>IF(A32=3,-'3. Margin Ratchet'!$D$10,IF(A32=2,-'3. Margin Ratchet'!$D$11,IF(A32=1,0,'3. Margin Ratchet'!$D$12)))</f>
        <v/>
      </c>
      <c r="C32" s="24">
        <f>'3. Margin Ratchet'!$D$6+B32</f>
        <v/>
      </c>
      <c r="D32" s="25">
        <f>$D$17*('3. Margin Ratchet'!$D$7+C32/100)/100</f>
        <v/>
      </c>
      <c r="E32" s="25">
        <f>$D$24</f>
        <v/>
      </c>
      <c r="F32" s="25">
        <f>D32+E32</f>
        <v/>
      </c>
      <c r="G32" s="23">
        <f>$D$17*B32/100/100*1000</f>
        <v/>
      </c>
    </row>
    <row r="34">
      <c r="A34" s="2" t="inlineStr">
        <is>
          <t>The commitment fee is identical across scenarios because this structure ratchets only the drawn margin. Some SLLs also ratchet the commitment fee pro rata, which would widen the spread between scenarios by roughly the commitment-fee percentage.</t>
        </is>
      </c>
    </row>
    <row r="35"/>
  </sheetData>
  <mergeCells count="3">
    <mergeCell ref="A2:F3"/>
    <mergeCell ref="A1:F1"/>
    <mergeCell ref="A34:G3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4" customWidth="1" min="1" max="1"/>
    <col width="14" customWidth="1" min="2" max="2"/>
    <col width="28" customWidth="1" min="3" max="3"/>
    <col width="22" customWidth="1" min="4" max="4"/>
    <col width="20" customWidth="1" min="5" max="5"/>
    <col width="18" customWidth="1" min="6" max="6"/>
  </cols>
  <sheetData>
    <row r="1" ht="22" customHeight="1">
      <c r="A1" s="1" t="inlineStr">
        <is>
          <t>RATCHET BENEFIT BY UTILISATION</t>
        </is>
      </c>
    </row>
    <row r="2">
      <c r="A2" s="2" t="inlineStr">
        <is>
          <t>The headline ratchet saving assumes the facility is fully drawn. It is not a fixed benefit: it is proportional to the drawn balance, while the verification cost that earns it is fixed. This is the table that decides whether an SLL is worth doing on price alone.</t>
        </is>
      </c>
    </row>
    <row r="3"/>
    <row r="5">
      <c r="A5" s="3" t="inlineStr">
        <is>
          <t>Utilisation</t>
        </is>
      </c>
      <c r="B5" s="3" t="inlineStr">
        <is>
          <t>Drawn (£m)</t>
        </is>
      </c>
      <c r="C5" s="3" t="inlineStr">
        <is>
          <t>Total cost at base margin (£m)</t>
        </is>
      </c>
      <c r="D5" s="3" t="inlineStr">
        <is>
          <t>Max annual saving (£k)</t>
        </is>
      </c>
      <c r="E5" s="3" t="inlineStr">
        <is>
          <t>Verification cost (£k)</t>
        </is>
      </c>
      <c r="F5" s="3" t="inlineStr">
        <is>
          <t>Net benefit (£k)</t>
        </is>
      </c>
    </row>
    <row r="6">
      <c r="A6" s="17" t="n">
        <v>0</v>
      </c>
      <c r="B6" s="14">
        <f>'3. Margin Ratchet'!$D$5*A6</f>
        <v/>
      </c>
      <c r="C6" s="26">
        <f>B6*('3. Margin Ratchet'!$D$7+'3. Margin Ratchet'!$D$6/100)/100+('3. Margin Ratchet'!$D$5-B6)*('3. Margin Ratchet'!$D$6*'3. Margin Ratchet'!$D$9)/100/100</f>
        <v/>
      </c>
      <c r="D6" s="14">
        <f>B6*'3. Margin Ratchet'!$D$10/100/100*1000</f>
        <v/>
      </c>
      <c r="E6" s="14">
        <f>'3. Margin Ratchet'!$D$13*1000</f>
        <v/>
      </c>
      <c r="F6" s="27">
        <f>D6-E6</f>
        <v/>
      </c>
    </row>
    <row r="7">
      <c r="A7" s="28" t="n">
        <v>0.2</v>
      </c>
      <c r="B7" s="24">
        <f>'3. Margin Ratchet'!$D$5*A7</f>
        <v/>
      </c>
      <c r="C7" s="29">
        <f>B7*('3. Margin Ratchet'!$D$7+'3. Margin Ratchet'!$D$6/100)/100+('3. Margin Ratchet'!$D$5-B7)*('3. Margin Ratchet'!$D$6*'3. Margin Ratchet'!$D$9)/100/100</f>
        <v/>
      </c>
      <c r="D7" s="24">
        <f>B7*'3. Margin Ratchet'!$D$10/100/100*1000</f>
        <v/>
      </c>
      <c r="E7" s="24">
        <f>'3. Margin Ratchet'!$D$13*1000</f>
        <v/>
      </c>
      <c r="F7" s="30">
        <f>D7-E7</f>
        <v/>
      </c>
    </row>
    <row r="8">
      <c r="A8" s="17" t="n">
        <v>0.4</v>
      </c>
      <c r="B8" s="14">
        <f>'3. Margin Ratchet'!$D$5*A8</f>
        <v/>
      </c>
      <c r="C8" s="26">
        <f>B8*('3. Margin Ratchet'!$D$7+'3. Margin Ratchet'!$D$6/100)/100+('3. Margin Ratchet'!$D$5-B8)*('3. Margin Ratchet'!$D$6*'3. Margin Ratchet'!$D$9)/100/100</f>
        <v/>
      </c>
      <c r="D8" s="14">
        <f>B8*'3. Margin Ratchet'!$D$10/100/100*1000</f>
        <v/>
      </c>
      <c r="E8" s="14">
        <f>'3. Margin Ratchet'!$D$13*1000</f>
        <v/>
      </c>
      <c r="F8" s="27">
        <f>D8-E8</f>
        <v/>
      </c>
    </row>
    <row r="9">
      <c r="A9" s="28" t="n">
        <v>0.6</v>
      </c>
      <c r="B9" s="24">
        <f>'3. Margin Ratchet'!$D$5*A9</f>
        <v/>
      </c>
      <c r="C9" s="29">
        <f>B9*('3. Margin Ratchet'!$D$7+'3. Margin Ratchet'!$D$6/100)/100+('3. Margin Ratchet'!$D$5-B9)*('3. Margin Ratchet'!$D$6*'3. Margin Ratchet'!$D$9)/100/100</f>
        <v/>
      </c>
      <c r="D9" s="24">
        <f>B9*'3. Margin Ratchet'!$D$10/100/100*1000</f>
        <v/>
      </c>
      <c r="E9" s="24">
        <f>'3. Margin Ratchet'!$D$13*1000</f>
        <v/>
      </c>
      <c r="F9" s="30">
        <f>D9-E9</f>
        <v/>
      </c>
    </row>
    <row r="10">
      <c r="A10" s="17" t="n">
        <v>0.8</v>
      </c>
      <c r="B10" s="14">
        <f>'3. Margin Ratchet'!$D$5*A10</f>
        <v/>
      </c>
      <c r="C10" s="26">
        <f>B10*('3. Margin Ratchet'!$D$7+'3. Margin Ratchet'!$D$6/100)/100+('3. Margin Ratchet'!$D$5-B10)*('3. Margin Ratchet'!$D$6*'3. Margin Ratchet'!$D$9)/100/100</f>
        <v/>
      </c>
      <c r="D10" s="14">
        <f>B10*'3. Margin Ratchet'!$D$10/100/100*1000</f>
        <v/>
      </c>
      <c r="E10" s="14">
        <f>'3. Margin Ratchet'!$D$13*1000</f>
        <v/>
      </c>
      <c r="F10" s="27">
        <f>D10-E10</f>
        <v/>
      </c>
    </row>
    <row r="11">
      <c r="A11" s="28" t="n">
        <v>1</v>
      </c>
      <c r="B11" s="24">
        <f>'3. Margin Ratchet'!$D$5*A11</f>
        <v/>
      </c>
      <c r="C11" s="29">
        <f>B11*('3. Margin Ratchet'!$D$7+'3. Margin Ratchet'!$D$6/100)/100+('3. Margin Ratchet'!$D$5-B11)*('3. Margin Ratchet'!$D$6*'3. Margin Ratchet'!$D$9)/100/100</f>
        <v/>
      </c>
      <c r="D11" s="24">
        <f>B11*'3. Margin Ratchet'!$D$10/100/100*1000</f>
        <v/>
      </c>
      <c r="E11" s="24">
        <f>'3. Margin Ratchet'!$D$13*1000</f>
        <v/>
      </c>
      <c r="F11" s="30">
        <f>D11-E11</f>
        <v/>
      </c>
    </row>
    <row r="13">
      <c r="A13" s="8" t="inlineStr">
        <is>
          <t>BREAK-EVEN</t>
        </is>
      </c>
    </row>
    <row r="14">
      <c r="A14" s="4" t="inlineStr">
        <is>
          <t>Break-even utilisation</t>
        </is>
      </c>
      <c r="B14" s="10">
        <f>'3. Margin Ratchet'!$D$13/('3. Margin Ratchet'!$D$5*'3. Margin Ratchet'!$D$10/100/100)</f>
        <v/>
      </c>
      <c r="C14" s="12" t="inlineStr">
        <is>
          <t>Below this drawdown the best-case ratchet saving does not cover the verification cost.</t>
        </is>
      </c>
    </row>
    <row r="16">
      <c r="A16" s="2" t="inlineStr">
        <is>
          <t>At the default inputs the break-even is about 21% utilisation. A borrower expecting to keep the facility largely undrawn — which is the normal use of an RCF as a liquidity backstop — gets little or no pricing benefit, and the case for the SLL has to rest on signalling, investor relations or internal accountability rather than on cost. That is a recognised criticism of the instrument and it is worth being explicit about rather than quoting the full-drawdown figure.</t>
        </is>
      </c>
    </row>
    <row r="17"/>
    <row r="18"/>
  </sheetData>
  <mergeCells count="3">
    <mergeCell ref="A2:F3"/>
    <mergeCell ref="A1:F1"/>
    <mergeCell ref="A16:F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34" customWidth="1" min="1" max="1"/>
    <col width="16" customWidth="1" min="2" max="2"/>
    <col width="10" customWidth="1" min="3" max="3"/>
    <col width="46" customWidth="1" min="4" max="4"/>
  </cols>
  <sheetData>
    <row r="1" ht="22" customHeight="1">
      <c r="A1" s="1" t="inlineStr">
        <is>
          <t>IS THE STRUCTURE WORTH IT?</t>
        </is>
      </c>
    </row>
    <row r="3">
      <c r="A3" s="8" t="inlineStr">
        <is>
          <t>AT THE DEFAULT INPUTS</t>
        </is>
      </c>
    </row>
    <row r="4">
      <c r="A4" s="3" t="inlineStr">
        <is>
          <t>Measure</t>
        </is>
      </c>
      <c r="B4" s="3" t="inlineStr">
        <is>
          <t>Value</t>
        </is>
      </c>
      <c r="C4" s="3" t="inlineStr">
        <is>
          <t>Unit</t>
        </is>
      </c>
      <c r="D4" s="3" t="inlineStr">
        <is>
          <t>Note</t>
        </is>
      </c>
    </row>
    <row r="5">
      <c r="A5" s="4" t="inlineStr">
        <is>
          <t>Facility size</t>
        </is>
      </c>
      <c r="B5" s="31">
        <f>'3. Margin Ratchet'!$D$5</f>
        <v/>
      </c>
      <c r="C5" s="4" t="inlineStr">
        <is>
          <t>£m</t>
        </is>
      </c>
      <c r="D5" s="5" t="inlineStr">
        <is>
          <t>Committed amount</t>
        </is>
      </c>
    </row>
    <row r="6">
      <c r="A6" s="4" t="inlineStr">
        <is>
          <t>Assumed utilisation</t>
        </is>
      </c>
      <c r="B6" s="32">
        <f>'3. Margin Ratchet'!$D$8</f>
        <v/>
      </c>
      <c r="C6" s="4" t="inlineStr">
        <is>
          <t>%</t>
        </is>
      </c>
      <c r="D6" s="5" t="inlineStr">
        <is>
          <t>Share drawn on average</t>
        </is>
      </c>
    </row>
    <row r="7">
      <c r="A7" s="4" t="inlineStr">
        <is>
          <t>Best-case annual saving</t>
        </is>
      </c>
      <c r="B7" s="14">
        <f>$B$5*$B$6*'3. Margin Ratchet'!$D$10/100/100*1000</f>
        <v/>
      </c>
      <c r="C7" s="4" t="inlineStr">
        <is>
          <t>£k</t>
        </is>
      </c>
      <c r="D7" s="5" t="inlineStr">
        <is>
          <t>All 3 SPTs met, on the drawn balance</t>
        </is>
      </c>
    </row>
    <row r="8">
      <c r="A8" s="4" t="inlineStr">
        <is>
          <t>Annual verification cost</t>
        </is>
      </c>
      <c r="B8" s="14">
        <f>'3. Margin Ratchet'!$D$13*1000</f>
        <v/>
      </c>
      <c r="C8" s="4" t="inlineStr">
        <is>
          <t>£k</t>
        </is>
      </c>
      <c r="D8" s="5" t="inlineStr">
        <is>
          <t>ISAE 3000 assurance; fixed, does not scale with drawdown</t>
        </is>
      </c>
    </row>
    <row r="9">
      <c r="A9" s="4" t="inlineStr">
        <is>
          <t>Net annual benefit</t>
        </is>
      </c>
      <c r="B9" s="27">
        <f>$B$7-$B$8</f>
        <v/>
      </c>
      <c r="C9" s="4" t="inlineStr">
        <is>
          <t>£k</t>
        </is>
      </c>
      <c r="D9" s="5" t="inlineStr">
        <is>
          <t>Negative means the structure costs more than it returns</t>
        </is>
      </c>
    </row>
    <row r="10">
      <c r="A10" s="4" t="inlineStr">
        <is>
          <t>Break-even utilisation</t>
        </is>
      </c>
      <c r="B10" s="10">
        <f>'3. Margin Ratchet'!$D$13/('3. Margin Ratchet'!$D$5*'3. Margin Ratchet'!$D$10/100/100)</f>
        <v/>
      </c>
      <c r="C10" s="4" t="inlineStr">
        <is>
          <t>%</t>
        </is>
      </c>
      <c r="D10" s="5" t="inlineStr">
        <is>
          <t>Drawdown at which saving = verification cost</t>
        </is>
      </c>
    </row>
    <row r="12">
      <c r="A12" s="8" t="inlineStr">
        <is>
          <t>WHAT THIS MODEL DELIBERATELY DOES NOT CLAIM</t>
        </is>
      </c>
    </row>
    <row r="13" ht="30" customHeight="1">
      <c r="A13" s="33" t="inlineStr">
        <is>
          <t>• The ratchet is priced on the drawn margin only. Structures that also ratchet the commitment fee would show a larger spread.</t>
        </is>
      </c>
    </row>
    <row r="14" ht="30" customHeight="1">
      <c r="A14" s="33" t="inlineStr">
        <is>
          <t>• A ±7.5bps step is small relative to credit-spread volatility, so in practice the SLL label is unlikely to be the binding factor in the borrower's cost of capital.</t>
        </is>
      </c>
    </row>
    <row r="15" ht="30" customHeight="1">
      <c r="A15" s="33" t="inlineStr">
        <is>
          <t>• No discounting: these are single-year figures. Over a five-year facility the saving is roughly five times the annual number, less the verification cost each year.</t>
        </is>
      </c>
    </row>
    <row r="16" ht="30" customHeight="1">
      <c r="A16" s="33" t="inlineStr">
        <is>
          <t>• Verification cost is a single illustrative input. Real assurance costs vary with scope, and the first year is usually dearer than later ones.</t>
        </is>
      </c>
    </row>
    <row r="17" ht="30" customHeight="1">
      <c r="A17" s="33" t="inlineStr">
        <is>
          <t>• The two-way ratchet assumes the step-up is genuinely enforced. A step-down-only structure gives the borrower a free option and is the main greenwashing channel the SLLP guidance targets.</t>
        </is>
      </c>
    </row>
    <row r="18" ht="30" customHeight="1">
      <c r="A18" s="33" t="inlineStr">
        <is>
          <t>• KPI selection, not pricing, is where the real integrity risk sits: a material KPI with an unambitious SPT prices identically to a demanding one in this model.</t>
        </is>
      </c>
    </row>
    <row r="20">
      <c r="A20" s="8" t="inlineStr">
        <is>
          <t>VERIFICATION &amp; REPORTING</t>
        </is>
      </c>
    </row>
    <row r="21">
      <c r="A21" s="2" t="inlineStr">
        <is>
          <t>External verifier: Big 4 assurance or a specialist ESG verifier. Reporting: annual sustainability report plus a loan anniversary compliance letter. Assurance standard: ISAE 3000 / AA1000AS. KPI data sourced from SECR disclosures (energy and carbon) and the REGO certificate registry (renewable share) — both UK statutory or registry-based, so no paid data subscription is required.</t>
        </is>
      </c>
    </row>
    <row r="22"/>
    <row r="23"/>
    <row r="25">
      <c r="A25" s="34" t="inlineStr">
        <is>
          <t>All figures illustrative — hypothetical borrower, facility and rates.</t>
        </is>
      </c>
    </row>
  </sheetData>
  <mergeCells count="8">
    <mergeCell ref="A1:D1"/>
    <mergeCell ref="A17:D17"/>
    <mergeCell ref="A18:D18"/>
    <mergeCell ref="A21:D23"/>
    <mergeCell ref="A15:D15"/>
    <mergeCell ref="A16:D16"/>
    <mergeCell ref="A13:D13"/>
    <mergeCell ref="A14:D1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2026-10-02T10:47:53Z</dcterms:created>
  <dcterms:modified xsi:type="dcterms:W3CDTF">2026-10-02T10:47:53Z</dcterms:modified>
</cp:coreProperties>
</file>