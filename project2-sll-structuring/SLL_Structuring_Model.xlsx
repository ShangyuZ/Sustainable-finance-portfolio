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Borrower Profile" sheetId="1" state="visible" r:id="rId1"/>
    <sheet xmlns:r="http://schemas.openxmlformats.org/officeDocument/2006/relationships" name="1. KPI Tracker" sheetId="2" state="visible" r:id="rId2"/>
    <sheet xmlns:r="http://schemas.openxmlformats.org/officeDocument/2006/relationships" name="2. SPT Calibration" sheetId="3" state="visible" r:id="rId3"/>
    <sheet xmlns:r="http://schemas.openxmlformats.org/officeDocument/2006/relationships" name="3. Margin Ratchet" sheetId="4" state="visible" r:id="rId4"/>
    <sheet xmlns:r="http://schemas.openxmlformats.org/officeDocument/2006/relationships" name="4. Utilisation Sensitivity" sheetId="5" state="visible" r:id="rId5"/>
    <sheet xmlns:r="http://schemas.openxmlformats.org/officeDocument/2006/relationships" name="5. Economics &amp; Caveats"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9">
    <font>
      <name val="Calibri"/>
      <family val="2"/>
      <color theme="1"/>
      <sz val="11"/>
      <scheme val="minor"/>
    </font>
    <font>
      <b val="1"/>
      <color rgb="00FFFFFF"/>
      <sz val="12"/>
    </font>
    <font>
      <i val="1"/>
      <color rgb="00595959"/>
      <sz val="9"/>
    </font>
    <font>
      <b val="1"/>
      <color rgb="00FFFFFF"/>
    </font>
    <font>
      <b val="1"/>
      <color rgb="002E7D32"/>
      <sz val="11"/>
    </font>
    <font>
      <b val="1"/>
      <color rgb="000000CC"/>
    </font>
    <font>
      <b val="1"/>
      <color rgb="001A7A4A"/>
    </font>
    <font>
      <sz val="9"/>
    </font>
    <font>
      <i val="1"/>
      <color rgb="00C62828"/>
      <sz val="9"/>
    </font>
  </fonts>
  <fills count="6">
    <fill>
      <patternFill/>
    </fill>
    <fill>
      <patternFill patternType="gray125"/>
    </fill>
    <fill>
      <patternFill patternType="solid">
        <fgColor rgb="002E7D32"/>
      </patternFill>
    </fill>
    <fill>
      <patternFill patternType="solid">
        <fgColor rgb="001A7A4A"/>
      </patternFill>
    </fill>
    <fill>
      <patternFill patternType="solid">
        <fgColor rgb="00E8F5E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3" borderId="1" applyAlignment="1" pivotButton="0" quotePrefix="0" xfId="0">
      <alignment horizontal="center" wrapText="1"/>
    </xf>
    <xf numFmtId="0" fontId="0" fillId="0" borderId="1" pivotButton="0" quotePrefix="0" xfId="0"/>
    <xf numFmtId="0" fontId="0" fillId="0" borderId="1" applyAlignment="1" pivotButton="0" quotePrefix="0" xfId="0">
      <alignment wrapText="1"/>
    </xf>
    <xf numFmtId="0" fontId="0" fillId="4" borderId="1" pivotButton="0" quotePrefix="0" xfId="0"/>
    <xf numFmtId="0" fontId="0" fillId="4" borderId="1" applyAlignment="1" pivotButton="0" quotePrefix="0" xfId="0">
      <alignment wrapText="1"/>
    </xf>
    <xf numFmtId="0" fontId="4" fillId="0" borderId="0" pivotButton="0" quotePrefix="0" xfId="0"/>
    <xf numFmtId="3" fontId="5" fillId="5" borderId="1" pivotButton="0" quotePrefix="0" xfId="0"/>
    <xf numFmtId="164" fontId="6" fillId="0" borderId="1" pivotButton="0" quotePrefix="0" xfId="0"/>
    <xf numFmtId="165" fontId="5" fillId="5" borderId="1" pivotButton="0" quotePrefix="0" xfId="0"/>
    <xf numFmtId="0" fontId="2" fillId="0" borderId="0" pivotButton="0" quotePrefix="0" xfId="0"/>
    <xf numFmtId="165" fontId="6" fillId="0" borderId="1" pivotButton="0" quotePrefix="0" xfId="0"/>
    <xf numFmtId="165" fontId="0" fillId="0" borderId="1" pivotButton="0" quotePrefix="0" xfId="0"/>
    <xf numFmtId="164" fontId="0" fillId="0" borderId="1" pivotButton="0" quotePrefix="0" xfId="0"/>
    <xf numFmtId="4" fontId="5" fillId="5" borderId="1" pivotButton="0" quotePrefix="0" xfId="0"/>
    <xf numFmtId="9" fontId="5" fillId="5" borderId="1" pivotButton="0" quotePrefix="0" xfId="0"/>
    <xf numFmtId="166" fontId="5" fillId="5" borderId="1" pivotButton="0" quotePrefix="0" xfId="0"/>
    <xf numFmtId="1" fontId="5" fillId="5" borderId="1" pivotButton="0" quotePrefix="0" xfId="0"/>
    <xf numFmtId="167" fontId="0" fillId="0" borderId="1" pivotButton="0" quotePrefix="0" xfId="0"/>
    <xf numFmtId="166" fontId="0" fillId="0" borderId="1" pivotButton="0" quotePrefix="0" xfId="0"/>
    <xf numFmtId="166" fontId="6" fillId="0" borderId="1" pivotButton="0" quotePrefix="0" xfId="0"/>
    <xf numFmtId="167" fontId="0" fillId="4" borderId="1" pivotButton="0" quotePrefix="0" xfId="0"/>
    <xf numFmtId="165" fontId="0" fillId="4" borderId="1" pivotButton="0" quotePrefix="0" xfId="0"/>
    <xf numFmtId="166" fontId="0" fillId="4" borderId="1" pivotButton="0" quotePrefix="0" xfId="0"/>
    <xf numFmtId="4" fontId="0" fillId="0" borderId="1" pivotButton="0" quotePrefix="0" xfId="0"/>
    <xf numFmtId="167" fontId="6" fillId="0" borderId="1" pivotButton="0" quotePrefix="0" xfId="0"/>
    <xf numFmtId="9" fontId="5" fillId="4" borderId="1" pivotButton="0" quotePrefix="0" xfId="0"/>
    <xf numFmtId="4" fontId="0" fillId="4" borderId="1" pivotButton="0" quotePrefix="0" xfId="0"/>
    <xf numFmtId="167" fontId="6" fillId="4" borderId="1" pivotButton="0" quotePrefix="0" xfId="0"/>
    <xf numFmtId="3" fontId="0" fillId="0" borderId="1" pivotButton="0" quotePrefix="0" xfId="0"/>
    <xf numFmtId="9" fontId="0" fillId="0" borderId="1" pivotButton="0" quotePrefix="0" xfId="0"/>
    <xf numFmtId="0" fontId="7" fillId="0"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8" customWidth="1" min="1" max="1"/>
    <col width="62" customWidth="1" min="2" max="2"/>
  </cols>
  <sheetData>
    <row r="1" ht="22" customHeight="1">
      <c r="A1" s="1" t="inlineStr">
        <is>
          <t>SLL STRUCTURING MODEL — ALBION INDUSTRIALS PLC (HYPOTHETICAL)</t>
        </is>
      </c>
    </row>
    <row r="3">
      <c r="A3" s="2" t="inlineStr">
        <is>
          <t>Fictional entity, for illustrative purposes only. No real company financial data is used anywhere in this model. All targets, rates and costs are illustrative.</t>
        </is>
      </c>
    </row>
    <row r="4"/>
    <row r="6">
      <c r="A6" s="3" t="inlineStr">
        <is>
          <t>Attribute</t>
        </is>
      </c>
      <c r="B6" s="3" t="inlineStr">
        <is>
          <t>Value</t>
        </is>
      </c>
    </row>
    <row r="7">
      <c r="A7" s="4" t="inlineStr">
        <is>
          <t>Sector</t>
        </is>
      </c>
      <c r="B7" s="5" t="inlineStr">
        <is>
          <t>UK Heavy Industrials (Steel &amp; Construction Materials)</t>
        </is>
      </c>
    </row>
    <row r="8">
      <c r="A8" s="6" t="inlineStr">
        <is>
          <t>Revenue (hypothetical)</t>
        </is>
      </c>
      <c r="B8" s="7" t="inlineStr">
        <is>
          <t>£2.8bn</t>
        </is>
      </c>
    </row>
    <row r="9">
      <c r="A9" s="4" t="inlineStr">
        <is>
          <t>EBITDA margin (hypothetical)</t>
        </is>
      </c>
      <c r="B9" s="5" t="inlineStr">
        <is>
          <t>11%</t>
        </is>
      </c>
    </row>
    <row r="10">
      <c r="A10" s="6" t="inlineStr">
        <is>
          <t>Existing debt (hypothetical)</t>
        </is>
      </c>
      <c r="B10" s="7" t="inlineStr">
        <is>
          <t>£650m revolving credit facility</t>
        </is>
      </c>
    </row>
    <row r="11">
      <c r="A11" s="4" t="inlineStr">
        <is>
          <t>Credit rating (hypothetical)</t>
        </is>
      </c>
      <c r="B11" s="5" t="inlineStr">
        <is>
          <t>BBB– (investment grade)</t>
        </is>
      </c>
    </row>
    <row r="12">
      <c r="A12" s="6" t="inlineStr">
        <is>
          <t>Scope 1+2 intensity (baseline)</t>
        </is>
      </c>
      <c r="B12" s="7" t="inlineStr">
        <is>
          <t>310 tCO2e per £m revenue</t>
        </is>
      </c>
    </row>
    <row r="13">
      <c r="A13" s="4" t="inlineStr">
        <is>
          <t>Renewable energy share (baseline)</t>
        </is>
      </c>
      <c r="B13" s="5" t="inlineStr">
        <is>
          <t>18%</t>
        </is>
      </c>
    </row>
    <row r="14">
      <c r="A14" s="6" t="inlineStr">
        <is>
          <t>Reference framework</t>
        </is>
      </c>
      <c r="B14" s="7" t="inlineStr">
        <is>
          <t>LMA/APLMA/LSTA Sustainability-Linked Loan Principles (2023 edition; revised March 2025)</t>
        </is>
      </c>
    </row>
    <row r="16">
      <c r="A16" s="8" t="inlineStr">
        <is>
          <t>HOW TO USE THIS WORKBOOK</t>
        </is>
      </c>
    </row>
    <row r="17">
      <c r="A17" s="2" t="inlineStr">
        <is>
          <t>Yellow cells are inputs; everything else is a live formula. Sheet 1 tracks KPI progress. Sheet 2 sets illustrative SPTs and derives linear glide paths for all three KPIs. Sheet 3 prices the facility — the number of SPTs met is a separate input there, not driven by Sheet 1. Sheet 4 shows how the ratchet benefit varies with drawdown, and Sheet 5 compares the facility with an equivalent conventional revolver.</t>
        </is>
      </c>
    </row>
    <row r="18"/>
    <row r="19"/>
    <row r="20"/>
    <row r="22">
      <c r="A22" s="8" t="inlineStr">
        <is>
          <t>REPRODUCIBILITY</t>
        </is>
      </c>
    </row>
    <row r="23">
      <c r="A23" s="2" t="inlineStr">
        <is>
          <t>This workbook is generated by scripts/build_model.py from the calculations in scripts/sll.py — it is not hand-maintained. Rebuild it with: python scripts/build_model.py</t>
        </is>
      </c>
    </row>
    <row r="24"/>
  </sheetData>
  <mergeCells count="4">
    <mergeCell ref="A3:B4"/>
    <mergeCell ref="A23:B24"/>
    <mergeCell ref="A1:B1"/>
    <mergeCell ref="A17:B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8" customWidth="1" min="1" max="1"/>
    <col width="40" customWidth="1" min="2" max="2"/>
    <col width="16" customWidth="1" min="3" max="3"/>
    <col width="22" customWidth="1" min="4" max="4"/>
    <col width="18" customWidth="1" min="5" max="5"/>
    <col width="18" customWidth="1" min="6" max="6"/>
    <col width="12" customWidth="1" min="7" max="7"/>
  </cols>
  <sheetData>
    <row r="1" ht="22" customHeight="1">
      <c r="A1" s="1" t="inlineStr">
        <is>
          <t>KPI TRACKER — BASELINE VS CURRENT VS TARGET</t>
        </is>
      </c>
    </row>
    <row r="3">
      <c r="A3" s="3" t="inlineStr">
        <is>
          <t>KPI</t>
        </is>
      </c>
      <c r="B3" s="3" t="inlineStr">
        <is>
          <t>Metric</t>
        </is>
      </c>
      <c r="C3" s="3" t="inlineStr">
        <is>
          <t>Baseline (2024)</t>
        </is>
      </c>
      <c r="D3" s="3" t="inlineStr">
        <is>
          <t>Current (2026, hypothetical)</t>
        </is>
      </c>
      <c r="E3" s="3" t="inlineStr">
        <is>
          <t>Target / SPT</t>
        </is>
      </c>
      <c r="F3" s="3" t="inlineStr">
        <is>
          <t>Progress to target</t>
        </is>
      </c>
      <c r="G3" s="3" t="inlineStr">
        <is>
          <t>Target year</t>
        </is>
      </c>
    </row>
    <row r="4">
      <c r="A4" s="4" t="inlineStr">
        <is>
          <t>Carbon intensity</t>
        </is>
      </c>
      <c r="B4" s="5" t="inlineStr">
        <is>
          <t>tCO2e per £m revenue (Scope 1+2)</t>
        </is>
      </c>
      <c r="C4" s="4" t="n">
        <v>310</v>
      </c>
      <c r="D4" s="9" t="n">
        <v>267</v>
      </c>
      <c r="E4" s="4" t="n">
        <v>217</v>
      </c>
      <c r="F4" s="10">
        <f>(D4-C4)/(E4-C4)</f>
        <v/>
      </c>
      <c r="G4" s="4" t="n">
        <v>2028</v>
      </c>
    </row>
    <row r="5">
      <c r="A5" s="4" t="inlineStr">
        <is>
          <t>Renewable energy share</t>
        </is>
      </c>
      <c r="B5" s="5" t="inlineStr">
        <is>
          <t>% of electricity from renewables</t>
        </is>
      </c>
      <c r="C5" s="4" t="n">
        <v>18</v>
      </c>
      <c r="D5" s="9" t="n">
        <v>34</v>
      </c>
      <c r="E5" s="4" t="n">
        <v>60</v>
      </c>
      <c r="F5" s="10">
        <f>(D5-C5)/(E5-C5)</f>
        <v/>
      </c>
      <c r="G5" s="4" t="n">
        <v>2028</v>
      </c>
    </row>
    <row r="6">
      <c r="A6" s="4" t="inlineStr">
        <is>
          <t>Supply chain audit coverage</t>
        </is>
      </c>
      <c r="B6" s="5" t="inlineStr">
        <is>
          <t>% tier-1 suppliers audited to ESG standards</t>
        </is>
      </c>
      <c r="C6" s="4" t="n">
        <v>35</v>
      </c>
      <c r="D6" s="9" t="n">
        <v>52</v>
      </c>
      <c r="E6" s="4" t="n">
        <v>80</v>
      </c>
      <c r="F6" s="10">
        <f>(D6-C6)/(E6-C6)</f>
        <v/>
      </c>
      <c r="G6" s="4" t="n">
        <v>2027</v>
      </c>
    </row>
    <row r="8">
      <c r="A8" s="2" t="inlineStr">
        <is>
          <t>Only the yellow 'Current' column is editable — illustrative interim progress, not reported data. Progress is computed as (current − baseline) / (target − baseline), so it reads correctly for carbon intensity (which must fall) and for the two shares (which must rise). Progress here does not set pricing: the number of SPTs met is entered separately on Sheet 3.</t>
        </is>
      </c>
    </row>
    <row r="9"/>
    <row r="10"/>
  </sheetData>
  <mergeCells count="2">
    <mergeCell ref="A1:G1"/>
    <mergeCell ref="A8:F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20" customWidth="1" min="2" max="2"/>
    <col width="14" customWidth="1" min="3" max="3"/>
    <col width="28" customWidth="1" min="4" max="4"/>
    <col width="42" customWidth="1" min="5" max="5"/>
  </cols>
  <sheetData>
    <row r="1" ht="22" customHeight="1">
      <c r="A1" s="1" t="inlineStr">
        <is>
          <t>SUSTAINABILITY PERFORMANCE TARGET CALIBRATION</t>
        </is>
      </c>
    </row>
    <row r="3">
      <c r="A3" s="3" t="inlineStr">
        <is>
          <t>KPI</t>
        </is>
      </c>
      <c r="B3" s="3" t="inlineStr">
        <is>
          <t>Baseline (2024)</t>
        </is>
      </c>
      <c r="C3" s="3" t="inlineStr">
        <is>
          <t>Target year</t>
        </is>
      </c>
      <c r="D3" s="3" t="inlineStr">
        <is>
          <t>SPT</t>
        </is>
      </c>
      <c r="E3" s="3" t="inlineStr">
        <is>
          <t>Informed by (alignment not established)</t>
        </is>
      </c>
    </row>
    <row r="4">
      <c r="A4" s="7" t="inlineStr">
        <is>
          <t>Carbon intensity</t>
        </is>
      </c>
      <c r="B4" s="7" t="inlineStr">
        <is>
          <t>310 tCO2e/£m rev</t>
        </is>
      </c>
      <c r="C4" s="7" t="n">
        <v>2028</v>
      </c>
      <c r="D4" s="7" t="inlineStr">
        <is>
          <t>&lt;=217 tCO2e/£m rev (-30%)</t>
        </is>
      </c>
      <c r="E4" s="7" t="inlineStr">
        <is>
          <t>SBTi near-term criteria</t>
        </is>
      </c>
    </row>
    <row r="5">
      <c r="A5" s="5" t="inlineStr">
        <is>
          <t>Renewable share</t>
        </is>
      </c>
      <c r="B5" s="5" t="inlineStr">
        <is>
          <t>18%</t>
        </is>
      </c>
      <c r="C5" s="5" t="n">
        <v>2028</v>
      </c>
      <c r="D5" s="5" t="inlineStr">
        <is>
          <t>&gt;=60%</t>
        </is>
      </c>
      <c r="E5" s="5" t="inlineStr">
        <is>
          <t>UK CCC Sixth Carbon Budget (December 2020)</t>
        </is>
      </c>
    </row>
    <row r="6">
      <c r="A6" s="7" t="inlineStr">
        <is>
          <t>Supply chain audit</t>
        </is>
      </c>
      <c r="B6" s="7" t="inlineStr">
        <is>
          <t>35%</t>
        </is>
      </c>
      <c r="C6" s="7" t="n">
        <v>2027</v>
      </c>
      <c r="D6" s="7" t="inlineStr">
        <is>
          <t>&gt;=80%</t>
        </is>
      </c>
      <c r="E6" s="7" t="inlineStr">
        <is>
          <t>LMA SLLP guidance on ambition</t>
        </is>
      </c>
    </row>
    <row r="8">
      <c r="A8" s="2" t="inlineStr">
        <is>
          <t>Illustrative targets informed by the frameworks named; alignment has not been independently established. SBTi accepts Scope 1+2 intensity targets only when modelled on an approved 1.5C sector pathway applicable to the company, so a chosen percentage is not evidence of alignment.</t>
        </is>
      </c>
    </row>
    <row r="9"/>
    <row r="11">
      <c r="A11" s="8" t="inlineStr">
        <is>
          <t>CARBON INTENSITY GLIDE PATH (linear, baseline → SPT)</t>
        </is>
      </c>
    </row>
    <row r="12">
      <c r="A12" s="4" t="inlineStr">
        <is>
          <t>Baseline</t>
        </is>
      </c>
      <c r="B12" s="11" t="n">
        <v>310</v>
      </c>
      <c r="C12" s="12" t="inlineStr">
        <is>
          <t>← editable</t>
        </is>
      </c>
    </row>
    <row r="13">
      <c r="A13" s="4" t="inlineStr">
        <is>
          <t>2028 SPT</t>
        </is>
      </c>
      <c r="B13" s="11" t="n">
        <v>217</v>
      </c>
    </row>
    <row r="15">
      <c r="A15" s="3" t="inlineStr">
        <is>
          <t>2024</t>
        </is>
      </c>
      <c r="B15" s="3" t="inlineStr">
        <is>
          <t>2025</t>
        </is>
      </c>
      <c r="C15" s="3" t="inlineStr">
        <is>
          <t>2026</t>
        </is>
      </c>
      <c r="D15" s="3" t="inlineStr">
        <is>
          <t>2027</t>
        </is>
      </c>
      <c r="E15" s="3" t="inlineStr">
        <is>
          <t>2028</t>
        </is>
      </c>
    </row>
    <row r="16">
      <c r="A16" s="13">
        <f>$B$12+($B$13-$B$12)*0/4</f>
        <v/>
      </c>
      <c r="B16" s="14">
        <f>$B$12+($B$13-$B$12)*1/4</f>
        <v/>
      </c>
      <c r="C16" s="14">
        <f>$B$12+($B$13-$B$12)*2/4</f>
        <v/>
      </c>
      <c r="D16" s="14">
        <f>$B$12+($B$13-$B$12)*3/4</f>
        <v/>
      </c>
      <c r="E16" s="13">
        <f>$B$12+($B$13-$B$12)*4/4</f>
        <v/>
      </c>
    </row>
    <row r="17">
      <c r="A17" s="12" t="inlineStr">
        <is>
          <t>Change on the prior year (%) — the linear path moves 7.5% of the baseline a year, so this rate rises over time</t>
        </is>
      </c>
    </row>
    <row r="18">
      <c r="B18" s="15">
        <f>B16/A16-1</f>
        <v/>
      </c>
      <c r="C18" s="15">
        <f>C16/B16-1</f>
        <v/>
      </c>
      <c r="D18" s="15">
        <f>D16/C16-1</f>
        <v/>
      </c>
      <c r="E18" s="15">
        <f>E16/D16-1</f>
        <v/>
      </c>
    </row>
    <row r="19">
      <c r="A19" s="4" t="inlineStr">
        <is>
          <t>Equivalent constant annual rate</t>
        </is>
      </c>
      <c r="B19" s="15">
        <f>($B$13/$B$12)^(1/4)-1</f>
        <v/>
      </c>
    </row>
    <row r="21">
      <c r="A21" s="2" t="inlineStr">
        <is>
          <t>The glide paths are formula-driven from the yellow endpoint cells, so changing a baseline or an SPT moves every interim target. Interim SPTs matter because the ratchet is tested annually, not once at maturity.</t>
        </is>
      </c>
    </row>
    <row r="22"/>
    <row r="24">
      <c r="A24" s="8" t="inlineStr">
        <is>
          <t>RENEWABLE ELECTRICITY SHARE (%) — 2024 → 2028</t>
        </is>
      </c>
    </row>
    <row r="25">
      <c r="A25" s="4" t="inlineStr">
        <is>
          <t>Baseline</t>
        </is>
      </c>
      <c r="B25" s="11" t="n">
        <v>18</v>
      </c>
      <c r="C25" s="4" t="inlineStr">
        <is>
          <t>SPT</t>
        </is>
      </c>
      <c r="D25" s="11" t="n">
        <v>60</v>
      </c>
    </row>
    <row r="26">
      <c r="A26" s="3" t="inlineStr">
        <is>
          <t>2024</t>
        </is>
      </c>
      <c r="B26" s="3" t="inlineStr">
        <is>
          <t>2025</t>
        </is>
      </c>
      <c r="C26" s="3" t="inlineStr">
        <is>
          <t>2026</t>
        </is>
      </c>
      <c r="D26" s="3" t="inlineStr">
        <is>
          <t>2027</t>
        </is>
      </c>
      <c r="E26" s="3" t="inlineStr">
        <is>
          <t>2028</t>
        </is>
      </c>
    </row>
    <row r="27">
      <c r="A27" s="13">
        <f>$B$25+($D$25-$B$25)*0/4</f>
        <v/>
      </c>
      <c r="B27" s="14">
        <f>$B$25+($D$25-$B$25)*1/4</f>
        <v/>
      </c>
      <c r="C27" s="14">
        <f>$B$25+($D$25-$B$25)*2/4</f>
        <v/>
      </c>
      <c r="D27" s="14">
        <f>$B$25+($D$25-$B$25)*3/4</f>
        <v/>
      </c>
      <c r="E27" s="13">
        <f>$B$25+($D$25-$B$25)*4/4</f>
        <v/>
      </c>
    </row>
    <row r="29">
      <c r="A29" s="8" t="inlineStr">
        <is>
          <t>SUPPLY-CHAIN AUDIT COVERAGE (%) — 2024 → 2027</t>
        </is>
      </c>
    </row>
    <row r="30">
      <c r="A30" s="4" t="inlineStr">
        <is>
          <t>Baseline</t>
        </is>
      </c>
      <c r="B30" s="11" t="n">
        <v>35</v>
      </c>
      <c r="C30" s="4" t="inlineStr">
        <is>
          <t>SPT</t>
        </is>
      </c>
      <c r="D30" s="11" t="n">
        <v>80</v>
      </c>
    </row>
    <row r="31">
      <c r="A31" s="3" t="inlineStr">
        <is>
          <t>2024</t>
        </is>
      </c>
      <c r="B31" s="3" t="inlineStr">
        <is>
          <t>2025</t>
        </is>
      </c>
      <c r="C31" s="3" t="inlineStr">
        <is>
          <t>2026</t>
        </is>
      </c>
      <c r="D31" s="3" t="inlineStr">
        <is>
          <t>2027</t>
        </is>
      </c>
    </row>
    <row r="32">
      <c r="A32" s="13">
        <f>$B$30+($D$30-$B$30)*0/3</f>
        <v/>
      </c>
      <c r="B32" s="14">
        <f>$B$30+($D$30-$B$30)*1/3</f>
        <v/>
      </c>
      <c r="C32" s="14">
        <f>$B$30+($D$30-$B$30)*2/3</f>
        <v/>
      </c>
      <c r="D32" s="13">
        <f>$B$30+($D$30-$B$30)*3/3</f>
        <v/>
      </c>
    </row>
  </sheetData>
  <mergeCells count="3">
    <mergeCell ref="A8:E9"/>
    <mergeCell ref="A1:E1"/>
    <mergeCell ref="A21:E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8" customWidth="1" min="2" max="2"/>
    <col width="16" customWidth="1" min="3" max="3"/>
    <col width="22" customWidth="1" min="4" max="4"/>
    <col width="20" customWidth="1" min="5" max="5"/>
    <col width="18" customWidth="1" min="6" max="6"/>
    <col width="20" customWidth="1" min="7" max="7"/>
  </cols>
  <sheetData>
    <row r="1" ht="22" customHeight="1">
      <c r="A1" s="1" t="inlineStr">
        <is>
          <t>MARGIN RATCHET CALCULATOR (ILLUSTRATIVE)</t>
        </is>
      </c>
    </row>
    <row r="2">
      <c r="A2" s="2" t="inlineStr">
        <is>
          <t>A revolving facility is rarely fully drawn, and the ratchet applies only to the drawn margin — so the benefit scales with utilisation. The undrawn balance carries a commitment fee, conventionally a fixed share of the margin.</t>
        </is>
      </c>
    </row>
    <row r="3"/>
    <row r="4">
      <c r="A4" s="8" t="inlineStr">
        <is>
          <t>INPUTS</t>
        </is>
      </c>
    </row>
    <row r="5">
      <c r="A5" s="4" t="inlineStr">
        <is>
          <t>Facility size (£m)</t>
        </is>
      </c>
      <c r="D5" s="9" t="n">
        <v>650</v>
      </c>
    </row>
    <row r="6">
      <c r="A6" s="4" t="inlineStr">
        <is>
          <t>Base margin (bps over SONIA)</t>
        </is>
      </c>
      <c r="D6" s="11" t="n">
        <v>120</v>
      </c>
    </row>
    <row r="7">
      <c r="A7" s="4" t="inlineStr">
        <is>
          <t>SONIA reference rate (%)</t>
        </is>
      </c>
      <c r="D7" s="16" t="n">
        <v>4.25</v>
      </c>
    </row>
    <row r="8">
      <c r="A8" s="4" t="inlineStr">
        <is>
          <t>Utilisation (% of facility drawn)</t>
        </is>
      </c>
      <c r="D8" s="17" t="n">
        <v>1</v>
      </c>
    </row>
    <row r="9">
      <c r="A9" s="4" t="inlineStr">
        <is>
          <t>Commitment fee (% of margin)</t>
        </is>
      </c>
      <c r="D9" s="17" t="n">
        <v>0.35</v>
      </c>
    </row>
    <row r="10">
      <c r="A10" s="4" t="inlineStr">
        <is>
          <t>Full step (bps) — all 3 SPTs met</t>
        </is>
      </c>
      <c r="D10" s="11" t="n">
        <v>7.5</v>
      </c>
    </row>
    <row r="11">
      <c r="A11" s="4" t="inlineStr">
        <is>
          <t>Partial step (bps) — 2 of 3 met</t>
        </is>
      </c>
      <c r="D11" s="11" t="n">
        <v>2.5</v>
      </c>
    </row>
    <row r="12">
      <c r="A12" s="4" t="inlineStr">
        <is>
          <t>Step-up (bps) — 0 met</t>
        </is>
      </c>
      <c r="D12" s="11" t="n">
        <v>7.5</v>
      </c>
    </row>
    <row r="13">
      <c r="A13" s="4" t="inlineStr">
        <is>
          <t>Incremental assurance cost (£m/yr)</t>
        </is>
      </c>
      <c r="D13" s="18" t="n">
        <v>0.1</v>
      </c>
    </row>
    <row r="14">
      <c r="A14" s="4" t="inlineStr">
        <is>
          <t>SPTs met this period (0–3) — scenario input</t>
        </is>
      </c>
      <c r="D14" s="19" t="n">
        <v>3</v>
      </c>
    </row>
    <row r="16">
      <c r="A16" s="8" t="inlineStr">
        <is>
          <t>DERIVED</t>
        </is>
      </c>
    </row>
    <row r="17">
      <c r="A17" s="4" t="inlineStr">
        <is>
          <t>Drawn balance (£m)</t>
        </is>
      </c>
      <c r="D17" s="14">
        <f>'3. Margin Ratchet'!$D$5*'3. Margin Ratchet'!$D$8</f>
        <v/>
      </c>
    </row>
    <row r="18">
      <c r="A18" s="4" t="inlineStr">
        <is>
          <t>Undrawn commitment (£m)</t>
        </is>
      </c>
      <c r="D18" s="14">
        <f>'3. Margin Ratchet'!$D$5*(1-'3. Margin Ratchet'!$D$8)</f>
        <v/>
      </c>
    </row>
    <row r="19">
      <c r="A19" s="4" t="inlineStr">
        <is>
          <t>Commitment fee (bps)</t>
        </is>
      </c>
      <c r="D19" s="14">
        <f>'3. Margin Ratchet'!$D$6*'3. Margin Ratchet'!$D$9</f>
        <v/>
      </c>
    </row>
    <row r="20">
      <c r="A20" s="4" t="inlineStr">
        <is>
          <t>Margin adjustment (bps)</t>
        </is>
      </c>
      <c r="D20" s="20">
        <f>IF('3. Margin Ratchet'!$D$14=3,-'3. Margin Ratchet'!$D$10,IF('3. Margin Ratchet'!$D$14=2,-'3. Margin Ratchet'!$D$11,IF('3. Margin Ratchet'!$D$14=1,0,'3. Margin Ratchet'!$D$12)))</f>
        <v/>
      </c>
    </row>
    <row r="21">
      <c r="A21" s="4" t="inlineStr">
        <is>
          <t>Adjusted margin (bps)</t>
        </is>
      </c>
      <c r="D21" s="14">
        <f>'3. Margin Ratchet'!$D$6+$D$20</f>
        <v/>
      </c>
    </row>
    <row r="22">
      <c r="A22" s="4" t="inlineStr">
        <is>
          <t>All-in rate on drawn (%)</t>
        </is>
      </c>
      <c r="D22" s="21">
        <f>'3. Margin Ratchet'!$D$7+$D$21/100</f>
        <v/>
      </c>
    </row>
    <row r="23">
      <c r="A23" s="4" t="inlineStr">
        <is>
          <t>Interest on drawn (£m)</t>
        </is>
      </c>
      <c r="D23" s="21">
        <f>$D$17*$D$22/100</f>
        <v/>
      </c>
    </row>
    <row r="24">
      <c r="A24" s="4" t="inlineStr">
        <is>
          <t>Commitment fee cost (£m)</t>
        </is>
      </c>
      <c r="D24" s="21">
        <f>$D$18*$D$19/100/100</f>
        <v/>
      </c>
    </row>
    <row r="25">
      <c r="A25" s="4" t="inlineStr">
        <is>
          <t>TOTAL ANNUAL COST (£m)</t>
        </is>
      </c>
      <c r="D25" s="22">
        <f>$D$23+$D$24</f>
        <v/>
      </c>
    </row>
    <row r="27">
      <c r="A27" s="8" t="inlineStr">
        <is>
          <t>SCENARIO COMPARISON (at the inputs above)</t>
        </is>
      </c>
    </row>
    <row r="28">
      <c r="A28" s="3" t="inlineStr">
        <is>
          <t>SPTs met</t>
        </is>
      </c>
      <c r="B28" s="3" t="inlineStr">
        <is>
          <t>Margin adj (bps)</t>
        </is>
      </c>
      <c r="C28" s="3" t="inlineStr">
        <is>
          <t>Margin (bps)</t>
        </is>
      </c>
      <c r="D28" s="3" t="inlineStr">
        <is>
          <t>Interest on drawn (£m)</t>
        </is>
      </c>
      <c r="E28" s="3" t="inlineStr">
        <is>
          <t>Commitment fee (£m)</t>
        </is>
      </c>
      <c r="F28" s="3" t="inlineStr">
        <is>
          <t>Total cost (£m)</t>
        </is>
      </c>
      <c r="G28" s="3" t="inlineStr">
        <is>
          <t>vs no adjustment (£k)</t>
        </is>
      </c>
    </row>
    <row r="29">
      <c r="A29" s="4" t="n">
        <v>3</v>
      </c>
      <c r="B29" s="20">
        <f>IF(A29=3,-'3. Margin Ratchet'!$D$10,IF(A29=2,-'3. Margin Ratchet'!$D$11,IF(A29=1,0,'3. Margin Ratchet'!$D$12)))</f>
        <v/>
      </c>
      <c r="C29" s="14">
        <f>'3. Margin Ratchet'!$D$6+B29</f>
        <v/>
      </c>
      <c r="D29" s="21">
        <f>$D$17*('3. Margin Ratchet'!$D$7+C29/100)/100</f>
        <v/>
      </c>
      <c r="E29" s="21">
        <f>$D$24</f>
        <v/>
      </c>
      <c r="F29" s="21">
        <f>D29+E29</f>
        <v/>
      </c>
      <c r="G29" s="20">
        <f>$D$17*B29/100/100*1000</f>
        <v/>
      </c>
    </row>
    <row r="30">
      <c r="A30" s="6" t="n">
        <v>2</v>
      </c>
      <c r="B30" s="23">
        <f>IF(A30=3,-'3. Margin Ratchet'!$D$10,IF(A30=2,-'3. Margin Ratchet'!$D$11,IF(A30=1,0,'3. Margin Ratchet'!$D$12)))</f>
        <v/>
      </c>
      <c r="C30" s="24">
        <f>'3. Margin Ratchet'!$D$6+B30</f>
        <v/>
      </c>
      <c r="D30" s="25">
        <f>$D$17*('3. Margin Ratchet'!$D$7+C30/100)/100</f>
        <v/>
      </c>
      <c r="E30" s="25">
        <f>$D$24</f>
        <v/>
      </c>
      <c r="F30" s="25">
        <f>D30+E30</f>
        <v/>
      </c>
      <c r="G30" s="23">
        <f>$D$17*B30/100/100*1000</f>
        <v/>
      </c>
    </row>
    <row r="31">
      <c r="A31" s="4" t="n">
        <v>1</v>
      </c>
      <c r="B31" s="20">
        <f>IF(A31=3,-'3. Margin Ratchet'!$D$10,IF(A31=2,-'3. Margin Ratchet'!$D$11,IF(A31=1,0,'3. Margin Ratchet'!$D$12)))</f>
        <v/>
      </c>
      <c r="C31" s="14">
        <f>'3. Margin Ratchet'!$D$6+B31</f>
        <v/>
      </c>
      <c r="D31" s="21">
        <f>$D$17*('3. Margin Ratchet'!$D$7+C31/100)/100</f>
        <v/>
      </c>
      <c r="E31" s="21">
        <f>$D$24</f>
        <v/>
      </c>
      <c r="F31" s="21">
        <f>D31+E31</f>
        <v/>
      </c>
      <c r="G31" s="20">
        <f>$D$17*B31/100/100*1000</f>
        <v/>
      </c>
    </row>
    <row r="32">
      <c r="A32" s="6" t="n">
        <v>0</v>
      </c>
      <c r="B32" s="23">
        <f>IF(A32=3,-'3. Margin Ratchet'!$D$10,IF(A32=2,-'3. Margin Ratchet'!$D$11,IF(A32=1,0,'3. Margin Ratchet'!$D$12)))</f>
        <v/>
      </c>
      <c r="C32" s="24">
        <f>'3. Margin Ratchet'!$D$6+B32</f>
        <v/>
      </c>
      <c r="D32" s="25">
        <f>$D$17*('3. Margin Ratchet'!$D$7+C32/100)/100</f>
        <v/>
      </c>
      <c r="E32" s="25">
        <f>$D$24</f>
        <v/>
      </c>
      <c r="F32" s="25">
        <f>D32+E32</f>
        <v/>
      </c>
      <c r="G32" s="23">
        <f>$D$17*B32/100/100*1000</f>
        <v/>
      </c>
    </row>
    <row r="34">
      <c r="A34" s="2" t="inlineStr">
        <is>
          <t>The commitment fee is identical across scenarios because this structure ratchets only the drawn margin, and it would be charged on an equivalent conventional revolver too. If the fee were also linked to the margin, the effect would fall on the undrawn balance and so depend on utilisation: at 0% drawn it would be the largest part of the benefit.</t>
        </is>
      </c>
    </row>
    <row r="35"/>
  </sheetData>
  <mergeCells count="3">
    <mergeCell ref="A2:F3"/>
    <mergeCell ref="A1:F1"/>
    <mergeCell ref="A34:G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4" customWidth="1" min="1" max="1"/>
    <col width="14" customWidth="1" min="2" max="2"/>
    <col width="28" customWidth="1" min="3" max="3"/>
    <col width="22" customWidth="1" min="4" max="4"/>
    <col width="20" customWidth="1" min="5" max="5"/>
    <col width="18" customWidth="1" min="6" max="6"/>
  </cols>
  <sheetData>
    <row r="1" ht="22" customHeight="1">
      <c r="A1" s="1" t="inlineStr">
        <is>
          <t>RATCHET BENEFIT BY UTILISATION</t>
        </is>
      </c>
    </row>
    <row r="2">
      <c r="A2" s="2" t="inlineStr">
        <is>
          <t>The headline ratchet saving assumes the facility is fully drawn. It is not a fixed benefit: it is proportional to the drawn balance, while the verification cost that earns it is fixed. This is the table that decides whether an SLL is worth doing on price alone.</t>
        </is>
      </c>
    </row>
    <row r="3"/>
    <row r="5">
      <c r="A5" s="3" t="inlineStr">
        <is>
          <t>Utilisation</t>
        </is>
      </c>
      <c r="B5" s="3" t="inlineStr">
        <is>
          <t>Drawn (£m)</t>
        </is>
      </c>
      <c r="C5" s="3" t="inlineStr">
        <is>
          <t>Total cost at base margin (£m)</t>
        </is>
      </c>
      <c r="D5" s="3" t="inlineStr">
        <is>
          <t>Max annual saving (£k)</t>
        </is>
      </c>
      <c r="E5" s="3" t="inlineStr">
        <is>
          <t>Incremental assurance (£k)</t>
        </is>
      </c>
      <c r="F5" s="3" t="inlineStr">
        <is>
          <t>Net vs conventional (£k)</t>
        </is>
      </c>
    </row>
    <row r="6">
      <c r="A6" s="17" t="n">
        <v>0</v>
      </c>
      <c r="B6" s="14">
        <f>'3. Margin Ratchet'!$D$5*A6</f>
        <v/>
      </c>
      <c r="C6" s="26">
        <f>B6*('3. Margin Ratchet'!$D$7+'3. Margin Ratchet'!$D$6/100)/100+('3. Margin Ratchet'!$D$5-B6)*('3. Margin Ratchet'!$D$6*'3. Margin Ratchet'!$D$9)/100/100</f>
        <v/>
      </c>
      <c r="D6" s="14">
        <f>B6*'3. Margin Ratchet'!$D$10/100/100*1000</f>
        <v/>
      </c>
      <c r="E6" s="14">
        <f>'3. Margin Ratchet'!$D$13*1000</f>
        <v/>
      </c>
      <c r="F6" s="27">
        <f>D6-E6</f>
        <v/>
      </c>
    </row>
    <row r="7">
      <c r="A7" s="28" t="n">
        <v>0.2</v>
      </c>
      <c r="B7" s="24">
        <f>'3. Margin Ratchet'!$D$5*A7</f>
        <v/>
      </c>
      <c r="C7" s="29">
        <f>B7*('3. Margin Ratchet'!$D$7+'3. Margin Ratchet'!$D$6/100)/100+('3. Margin Ratchet'!$D$5-B7)*('3. Margin Ratchet'!$D$6*'3. Margin Ratchet'!$D$9)/100/100</f>
        <v/>
      </c>
      <c r="D7" s="24">
        <f>B7*'3. Margin Ratchet'!$D$10/100/100*1000</f>
        <v/>
      </c>
      <c r="E7" s="24">
        <f>'3. Margin Ratchet'!$D$13*1000</f>
        <v/>
      </c>
      <c r="F7" s="30">
        <f>D7-E7</f>
        <v/>
      </c>
    </row>
    <row r="8">
      <c r="A8" s="17" t="n">
        <v>0.4</v>
      </c>
      <c r="B8" s="14">
        <f>'3. Margin Ratchet'!$D$5*A8</f>
        <v/>
      </c>
      <c r="C8" s="26">
        <f>B8*('3. Margin Ratchet'!$D$7+'3. Margin Ratchet'!$D$6/100)/100+('3. Margin Ratchet'!$D$5-B8)*('3. Margin Ratchet'!$D$6*'3. Margin Ratchet'!$D$9)/100/100</f>
        <v/>
      </c>
      <c r="D8" s="14">
        <f>B8*'3. Margin Ratchet'!$D$10/100/100*1000</f>
        <v/>
      </c>
      <c r="E8" s="14">
        <f>'3. Margin Ratchet'!$D$13*1000</f>
        <v/>
      </c>
      <c r="F8" s="27">
        <f>D8-E8</f>
        <v/>
      </c>
    </row>
    <row r="9">
      <c r="A9" s="28" t="n">
        <v>0.6</v>
      </c>
      <c r="B9" s="24">
        <f>'3. Margin Ratchet'!$D$5*A9</f>
        <v/>
      </c>
      <c r="C9" s="29">
        <f>B9*('3. Margin Ratchet'!$D$7+'3. Margin Ratchet'!$D$6/100)/100+('3. Margin Ratchet'!$D$5-B9)*('3. Margin Ratchet'!$D$6*'3. Margin Ratchet'!$D$9)/100/100</f>
        <v/>
      </c>
      <c r="D9" s="24">
        <f>B9*'3. Margin Ratchet'!$D$10/100/100*1000</f>
        <v/>
      </c>
      <c r="E9" s="24">
        <f>'3. Margin Ratchet'!$D$13*1000</f>
        <v/>
      </c>
      <c r="F9" s="30">
        <f>D9-E9</f>
        <v/>
      </c>
    </row>
    <row r="10">
      <c r="A10" s="17" t="n">
        <v>0.8</v>
      </c>
      <c r="B10" s="14">
        <f>'3. Margin Ratchet'!$D$5*A10</f>
        <v/>
      </c>
      <c r="C10" s="26">
        <f>B10*('3. Margin Ratchet'!$D$7+'3. Margin Ratchet'!$D$6/100)/100+('3. Margin Ratchet'!$D$5-B10)*('3. Margin Ratchet'!$D$6*'3. Margin Ratchet'!$D$9)/100/100</f>
        <v/>
      </c>
      <c r="D10" s="14">
        <f>B10*'3. Margin Ratchet'!$D$10/100/100*1000</f>
        <v/>
      </c>
      <c r="E10" s="14">
        <f>'3. Margin Ratchet'!$D$13*1000</f>
        <v/>
      </c>
      <c r="F10" s="27">
        <f>D10-E10</f>
        <v/>
      </c>
    </row>
    <row r="11">
      <c r="A11" s="28" t="n">
        <v>1</v>
      </c>
      <c r="B11" s="24">
        <f>'3. Margin Ratchet'!$D$5*A11</f>
        <v/>
      </c>
      <c r="C11" s="29">
        <f>B11*('3. Margin Ratchet'!$D$7+'3. Margin Ratchet'!$D$6/100)/100+('3. Margin Ratchet'!$D$5-B11)*('3. Margin Ratchet'!$D$6*'3. Margin Ratchet'!$D$9)/100/100</f>
        <v/>
      </c>
      <c r="D11" s="24">
        <f>B11*'3. Margin Ratchet'!$D$10/100/100*1000</f>
        <v/>
      </c>
      <c r="E11" s="24">
        <f>'3. Margin Ratchet'!$D$13*1000</f>
        <v/>
      </c>
      <c r="F11" s="30">
        <f>D11-E11</f>
        <v/>
      </c>
    </row>
    <row r="13">
      <c r="A13" s="8" t="inlineStr">
        <is>
          <t>BREAK-EVEN</t>
        </is>
      </c>
    </row>
    <row r="14">
      <c r="A14" s="4" t="inlineStr">
        <is>
          <t>Best-case pricing break-even</t>
        </is>
      </c>
      <c r="B14" s="10">
        <f>'3. Margin Ratchet'!$D$13/('3. Margin Ratchet'!$D$5*'3. Margin Ratchet'!$D$10/100/100)</f>
        <v/>
      </c>
      <c r="C14" s="12" t="inlineStr">
        <is>
          <t>Below this drawdown the best-case annual saving does not cover the incremental assurance cost, under the model assumptions.</t>
        </is>
      </c>
    </row>
    <row r="16">
      <c r="A16" s="2" t="inlineStr">
        <is>
          <t>At the default inputs the best-case annual pricing break-even is about 21% utilisation. It assumes every SPT is met, the whole assurance cost is incremental (already-verified reporting can reduce it), only the drawn margin changes, and there are no other incremental costs. The commitment fee is excluded because an equivalent conventional revolver would charge it too. Where a real borrower would operate is a liquidity question this model does not answer.</t>
        </is>
      </c>
    </row>
    <row r="17"/>
    <row r="18"/>
  </sheetData>
  <mergeCells count="3">
    <mergeCell ref="A2:F3"/>
    <mergeCell ref="A1:F1"/>
    <mergeCell ref="A16: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6" customWidth="1" min="2" max="2"/>
    <col width="10" customWidth="1" min="3" max="3"/>
    <col width="46" customWidth="1" min="4" max="4"/>
  </cols>
  <sheetData>
    <row r="1" ht="22" customHeight="1">
      <c r="A1" s="1" t="inlineStr">
        <is>
          <t>INCREMENTAL ECONOMICS VS AN EQUIVALENT CONVENTIONAL REVOLVER</t>
        </is>
      </c>
    </row>
    <row r="3">
      <c r="A3" s="8" t="inlineStr">
        <is>
          <t>AT THE DEFAULT INPUTS (commitment fee cancels: charged on both)</t>
        </is>
      </c>
    </row>
    <row r="4">
      <c r="A4" s="3" t="inlineStr">
        <is>
          <t>Measure</t>
        </is>
      </c>
      <c r="B4" s="3" t="inlineStr">
        <is>
          <t>Value</t>
        </is>
      </c>
      <c r="C4" s="3" t="inlineStr">
        <is>
          <t>Unit</t>
        </is>
      </c>
      <c r="D4" s="3" t="inlineStr">
        <is>
          <t>Note</t>
        </is>
      </c>
    </row>
    <row r="5">
      <c r="A5" s="4" t="inlineStr">
        <is>
          <t>Facility size</t>
        </is>
      </c>
      <c r="B5" s="31">
        <f>'3. Margin Ratchet'!$D$5</f>
        <v/>
      </c>
      <c r="C5" s="4" t="inlineStr">
        <is>
          <t>£m</t>
        </is>
      </c>
      <c r="D5" s="5" t="inlineStr">
        <is>
          <t>Committed amount</t>
        </is>
      </c>
    </row>
    <row r="6">
      <c r="A6" s="4" t="inlineStr">
        <is>
          <t>Assumed utilisation</t>
        </is>
      </c>
      <c r="B6" s="32">
        <f>'3. Margin Ratchet'!$D$8</f>
        <v/>
      </c>
      <c r="C6" s="4" t="inlineStr">
        <is>
          <t>%</t>
        </is>
      </c>
      <c r="D6" s="5" t="inlineStr">
        <is>
          <t>Share drawn on average</t>
        </is>
      </c>
    </row>
    <row r="7">
      <c r="A7" s="4" t="inlineStr">
        <is>
          <t>Best-case annual saving</t>
        </is>
      </c>
      <c r="B7" s="14">
        <f>$B$5*$B$6*'3. Margin Ratchet'!$D$10/100/100*1000</f>
        <v/>
      </c>
      <c r="C7" s="4" t="inlineStr">
        <is>
          <t>£k</t>
        </is>
      </c>
      <c r="D7" s="5" t="inlineStr">
        <is>
          <t>All 3 SPTs met, on the drawn balance</t>
        </is>
      </c>
    </row>
    <row r="8">
      <c r="A8" s="4" t="inlineStr">
        <is>
          <t>Incremental assurance cost</t>
        </is>
      </c>
      <c r="B8" s="14">
        <f>'3. Margin Ratchet'!$D$13*1000</f>
        <v/>
      </c>
      <c r="C8" s="4" t="inlineStr">
        <is>
          <t>£k</t>
        </is>
      </c>
      <c r="D8" s="5" t="inlineStr">
        <is>
          <t>Fixed; may be lower where reporting is already verified</t>
        </is>
      </c>
    </row>
    <row r="9">
      <c r="A9" s="4" t="inlineStr">
        <is>
          <t>Net annual benefit vs conventional</t>
        </is>
      </c>
      <c r="B9" s="27">
        <f>$B$7-$B$8</f>
        <v/>
      </c>
      <c r="C9" s="4" t="inlineStr">
        <is>
          <t>£k</t>
        </is>
      </c>
      <c r="D9" s="5" t="inlineStr">
        <is>
          <t>Negative means the feature costs more than it returns</t>
        </is>
      </c>
    </row>
    <row r="10">
      <c r="A10" s="4" t="inlineStr">
        <is>
          <t>Best-case pricing break-even</t>
        </is>
      </c>
      <c r="B10" s="15">
        <f>'3. Margin Ratchet'!$D$13/('3. Margin Ratchet'!$D$5*'3. Margin Ratchet'!$D$10/100/100)</f>
        <v/>
      </c>
      <c r="C10" s="4" t="inlineStr">
        <is>
          <t>%</t>
        </is>
      </c>
      <c r="D10" s="5" t="inlineStr">
        <is>
          <t>Drawdown at which best-case saving = assurance cost</t>
        </is>
      </c>
    </row>
    <row r="12">
      <c r="A12" s="8" t="inlineStr">
        <is>
          <t>WHAT THIS MODEL DELIBERATELY DOES NOT CLAIM</t>
        </is>
      </c>
    </row>
    <row r="13" ht="30" customHeight="1">
      <c r="A13" s="33" t="inlineStr">
        <is>
          <t>• The ratchet is priced on the drawn margin only. A linked commitment fee would add a benefit on the undrawn balance, largest when least drawn.</t>
        </is>
      </c>
    </row>
    <row r="14" ht="30" customHeight="1">
      <c r="A14" s="33" t="inlineStr">
        <is>
          <t>• The pricing grid is unweighted: it counts SPTs met, not which ones, so the carbon target can be missed while a partial step-down is earned.</t>
        </is>
      </c>
    </row>
    <row r="15" ht="30" customHeight="1">
      <c r="A15" s="33" t="inlineStr">
        <is>
          <t>• The SPTs are illustrative; alignment with SBTi, CCC or SLLP benchmarks has not been independently established.</t>
        </is>
      </c>
    </row>
    <row r="16" ht="30" customHeight="1">
      <c r="A16" s="33" t="inlineStr">
        <is>
          <t>• No discounting: these are single-year figures. Over a five-year facility the saving is roughly five times the annual number, less the verification cost each year.</t>
        </is>
      </c>
    </row>
    <row r="17" ht="30" customHeight="1">
      <c r="A17" s="33" t="inlineStr">
        <is>
          <t>• Verification cost is a single illustrative input. Real assurance costs vary with scope, and the first year is usually dearer than later ones.</t>
        </is>
      </c>
    </row>
    <row r="18" ht="30" customHeight="1">
      <c r="A18" s="33" t="inlineStr">
        <is>
          <t>• The two-way ratchet assumes the step-up is genuinely enforced. A step-down-only structure gives the borrower a free option and is the main greenwashing channel the SLLP guidance targets.</t>
        </is>
      </c>
    </row>
    <row r="19" ht="30" customHeight="1">
      <c r="A19" s="33" t="inlineStr">
        <is>
          <t>• KPI selection, not pricing, is where the real integrity risk sits: a material KPI with an unambitious SPT prices identically to a demanding one in this model.</t>
        </is>
      </c>
    </row>
    <row r="21">
      <c r="A21" s="8" t="inlineStr">
        <is>
          <t>VERIFICATION &amp; REPORTING</t>
        </is>
      </c>
    </row>
    <row r="22">
      <c r="A22" s="2" t="inlineStr">
        <is>
          <t>External verifier: an auditor or specialist ESG verifier. Reporting: annual sustainability report plus a loan anniversary compliance letter. Assurance standard: ISAE 3000 / AA1000AS. KPI data sourced from SECR disclosures (energy and carbon) and the REGO certificate registry (renewable share) — both UK statutory or registry-based, so no paid data subscription is required.</t>
        </is>
      </c>
    </row>
    <row r="23"/>
    <row r="24"/>
    <row r="26">
      <c r="A26" s="34" t="inlineStr">
        <is>
          <t>All figures illustrative — hypothetical borrower, facility and rates.</t>
        </is>
      </c>
    </row>
  </sheetData>
  <mergeCells count="9">
    <mergeCell ref="A1:D1"/>
    <mergeCell ref="A17:D17"/>
    <mergeCell ref="A18:D18"/>
    <mergeCell ref="A15:D15"/>
    <mergeCell ref="A16:D16"/>
    <mergeCell ref="A19:D19"/>
    <mergeCell ref="A13:D13"/>
    <mergeCell ref="A14:D14"/>
    <mergeCell ref="A22:D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2026-10-09T16:00:12Z</dcterms:created>
  <dcterms:modified xmlns:dcterms="http://purl.org/dc/terms/" xmlns:xsi="http://www.w3.org/2001/XMLSchema-instance" xsi:type="dcterms:W3CDTF">2026-10-09T16:00:12Z</dcterms:modified>
</cp:coreProperties>
</file>