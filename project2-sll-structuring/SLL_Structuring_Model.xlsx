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Borrower Profile" sheetId="1" state="visible" r:id="rId1"/>
    <sheet xmlns:r="http://schemas.openxmlformats.org/officeDocument/2006/relationships" name="1. KPI Tracker" sheetId="2" state="visible" r:id="rId2"/>
    <sheet xmlns:r="http://schemas.openxmlformats.org/officeDocument/2006/relationships" name="2. SPT Calibration" sheetId="3" state="visible" r:id="rId3"/>
    <sheet xmlns:r="http://schemas.openxmlformats.org/officeDocument/2006/relationships" name="3. Margin Ratchet Calcul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+0.0;-0.0"/>
    <numFmt numFmtId="166" formatCode="0.000&quot;%&quot;"/>
    <numFmt numFmtId="167" formatCode="£#,##0.0"/>
  </numFmts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C62828"/>
    </font>
    <font>
      <b val="1"/>
    </font>
    <font>
      <b val="1"/>
      <color rgb="00FFFFFF"/>
    </font>
    <font>
      <b val="1"/>
      <sz val="11"/>
    </font>
    <font>
      <i val="1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A7A4A"/>
      </patternFill>
    </fill>
    <fill>
      <patternFill patternType="solid">
        <fgColor rgb="00E8F5E9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CDD2"/>
        </patternFill>
      </fill>
    </dxf>
    <dxf>
      <fill>
        <patternFill patternType="solid">
          <fgColor rgb="00FFF9C4"/>
        </patternFill>
      </fill>
    </dxf>
    <dxf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48" customWidth="1" min="2" max="2"/>
  </cols>
  <sheetData>
    <row r="1" ht="22" customHeight="1">
      <c r="A1" s="1" t="inlineStr">
        <is>
          <t>SLL Structuring Model — Albion Industrials plc (Hypothetical)</t>
        </is>
      </c>
    </row>
    <row r="3">
      <c r="A3" s="2" t="inlineStr">
        <is>
          <t>Fictional entity for illustrative purposes only. No real company financial data is used anywhere in this model.</t>
        </is>
      </c>
    </row>
    <row r="5">
      <c r="A5" s="3" t="inlineStr">
        <is>
          <t>Attribute</t>
        </is>
      </c>
      <c r="B5" s="3" t="inlineStr">
        <is>
          <t>Value</t>
        </is>
      </c>
    </row>
    <row r="6">
      <c r="A6" s="4" t="inlineStr">
        <is>
          <t>Sector</t>
        </is>
      </c>
      <c r="B6" s="5" t="inlineStr">
        <is>
          <t>UK Heavy Industrials (Steel &amp; Construction Materials)</t>
        </is>
      </c>
    </row>
    <row r="7">
      <c r="A7" s="6" t="inlineStr">
        <is>
          <t>Revenue (hypothetical)</t>
        </is>
      </c>
      <c r="B7" s="7" t="inlineStr">
        <is>
          <t>£2.8bn</t>
        </is>
      </c>
    </row>
    <row r="8">
      <c r="A8" s="4" t="inlineStr">
        <is>
          <t>EBITDA margin (hypothetical)</t>
        </is>
      </c>
      <c r="B8" s="5" t="inlineStr">
        <is>
          <t>11%</t>
        </is>
      </c>
    </row>
    <row r="9">
      <c r="A9" s="6" t="inlineStr">
        <is>
          <t>Existing debt (hypothetical)</t>
        </is>
      </c>
      <c r="B9" s="7" t="inlineStr">
        <is>
          <t>£650m revolving credit facility</t>
        </is>
      </c>
    </row>
    <row r="10">
      <c r="A10" s="4" t="inlineStr">
        <is>
          <t>Credit rating (hypothetical)</t>
        </is>
      </c>
      <c r="B10" s="5" t="inlineStr">
        <is>
          <t>BBB– (investment grade)</t>
        </is>
      </c>
    </row>
    <row r="11">
      <c r="A11" s="6" t="inlineStr">
        <is>
          <t>Scope 1+2 intensity baseline (hypothetical)</t>
        </is>
      </c>
      <c r="B11" s="7" t="inlineStr">
        <is>
          <t>310 tCO2e per £m revenue</t>
        </is>
      </c>
    </row>
    <row r="12">
      <c r="A12" s="4" t="inlineStr">
        <is>
          <t>Renewable energy share baseline (hypothetical)</t>
        </is>
      </c>
      <c r="B12" s="5" t="inlineStr">
        <is>
          <t>18%</t>
        </is>
      </c>
    </row>
    <row r="13">
      <c r="A13" s="6" t="inlineStr">
        <is>
          <t>Reference framework</t>
        </is>
      </c>
      <c r="B13" s="7" t="inlineStr">
        <is>
          <t>LMA/APLMA/LSTA Sustainability-Linked Loan Principles (2023)</t>
        </is>
      </c>
    </row>
    <row r="15">
      <c r="A15" s="8" t="inlineStr">
        <is>
          <t>How to use this workbook</t>
        </is>
      </c>
    </row>
    <row r="16">
      <c r="A16" s="9" t="inlineStr">
        <is>
          <t>1. Borrower Profile — hypothetical baseline data.
2. KPI Tracker — baseline vs current vs target for each KPI, with live progress %.
3. SPT Calibration &amp; Glide Path — annual interim targets between baseline and 2028 SPT.
4. Margin Ratchet Calculator — enter number of SPTs met to see the adjusted margin and annual interest cost; all inputs (facility size, base margin, SONIA) are editable.</t>
        </is>
      </c>
    </row>
    <row r="17"/>
    <row r="18"/>
    <row r="19"/>
    <row r="20"/>
  </sheetData>
  <mergeCells count="3">
    <mergeCell ref="A16:B20"/>
    <mergeCell ref="A3:B3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22" customHeight="1">
      <c r="A1" s="1" t="inlineStr">
        <is>
          <t>KPI Tracker — Baseline vs Current vs Target</t>
        </is>
      </c>
    </row>
    <row r="3">
      <c r="A3" s="3" t="inlineStr">
        <is>
          <t>KPI</t>
        </is>
      </c>
      <c r="B3" s="3" t="inlineStr">
        <is>
          <t>Metric</t>
        </is>
      </c>
      <c r="C3" s="3" t="inlineStr">
        <is>
          <t>Baseline (2024)</t>
        </is>
      </c>
      <c r="D3" s="3" t="inlineStr">
        <is>
          <t>Current (2026, hypothetical)</t>
        </is>
      </c>
      <c r="E3" s="3" t="inlineStr">
        <is>
          <t>Target / SPT (2028)</t>
        </is>
      </c>
      <c r="F3" s="3" t="inlineStr">
        <is>
          <t>Progress to Target</t>
        </is>
      </c>
    </row>
    <row r="4">
      <c r="A4" s="6" t="inlineStr">
        <is>
          <t>Carbon intensity</t>
        </is>
      </c>
      <c r="B4" s="7" t="inlineStr">
        <is>
          <t>tCO2e per £m revenue (Scope 1+2)</t>
        </is>
      </c>
      <c r="C4" s="7" t="n">
        <v>310</v>
      </c>
      <c r="D4" s="10" t="n">
        <v>267</v>
      </c>
      <c r="E4" s="7" t="n">
        <v>217</v>
      </c>
      <c r="F4" s="11">
        <f>(C4-D4)/(C4-E4)</f>
        <v/>
      </c>
    </row>
    <row r="5">
      <c r="A5" s="6" t="inlineStr">
        <is>
          <t>Renewable energy share</t>
        </is>
      </c>
      <c r="B5" s="7" t="inlineStr">
        <is>
          <t>% of electricity from renewables</t>
        </is>
      </c>
      <c r="C5" s="7" t="n">
        <v>18</v>
      </c>
      <c r="D5" s="10" t="n">
        <v>34</v>
      </c>
      <c r="E5" s="7" t="n">
        <v>60</v>
      </c>
      <c r="F5" s="11">
        <f>(D5-C5)/(E5-C5)</f>
        <v/>
      </c>
    </row>
    <row r="6">
      <c r="A6" s="6" t="inlineStr">
        <is>
          <t>Supply chain audit coverage</t>
        </is>
      </c>
      <c r="B6" s="7" t="inlineStr">
        <is>
          <t>% tier-1 suppliers audited to ESG standards</t>
        </is>
      </c>
      <c r="C6" s="7" t="n">
        <v>35</v>
      </c>
      <c r="D6" s="10" t="n">
        <v>52</v>
      </c>
      <c r="E6" s="7" t="n">
        <v>80</v>
      </c>
      <c r="F6" s="11">
        <f>(D6-C6)/(E6-C6)</f>
        <v/>
      </c>
    </row>
    <row r="8">
      <c r="A8" s="12" t="inlineStr">
        <is>
          <t>Note: 'Current (2026, hypothetical)' is the only editable (yellow) input — illustrative interim progress, not real reported data. Progress % recalculates live.</t>
        </is>
      </c>
    </row>
  </sheetData>
  <mergeCells count="2">
    <mergeCell ref="A8:F8"/>
    <mergeCell ref="A1:F1"/>
  </mergeCells>
  <conditionalFormatting sqref="F4:F6">
    <cfRule type="cellIs" priority="1" operator="lessThan" dxfId="0">
      <formula>0.4</formula>
    </cfRule>
    <cfRule type="cellIs" priority="2" operator="between" dxfId="1">
      <formula>0.4</formula>
      <formula>0.8</formula>
    </cfRule>
    <cfRule type="cellIs" priority="3" operator="greaterThanOrEqual" dxfId="2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26" customWidth="1" min="4" max="4"/>
    <col width="38" customWidth="1" min="5" max="5"/>
  </cols>
  <sheetData>
    <row r="1" ht="22" customHeight="1">
      <c r="A1" s="1" t="inlineStr">
        <is>
          <t>Sustainability Performance Target Calibration</t>
        </is>
      </c>
    </row>
    <row r="3">
      <c r="A3" s="3" t="inlineStr">
        <is>
          <t>KPI</t>
        </is>
      </c>
      <c r="B3" s="3" t="inlineStr">
        <is>
          <t>Baseline (2024)</t>
        </is>
      </c>
      <c r="C3" s="3" t="inlineStr">
        <is>
          <t>Target Year</t>
        </is>
      </c>
      <c r="D3" s="3" t="inlineStr">
        <is>
          <t>SPT</t>
        </is>
      </c>
      <c r="E3" s="3" t="inlineStr">
        <is>
          <t>Benchmark Source</t>
        </is>
      </c>
    </row>
    <row r="4">
      <c r="A4" s="5" t="inlineStr">
        <is>
          <t>Carbon intensity</t>
        </is>
      </c>
      <c r="B4" s="5" t="inlineStr">
        <is>
          <t>310 tCO2e/£m rev</t>
        </is>
      </c>
      <c r="C4" s="5" t="n">
        <v>2028</v>
      </c>
      <c r="D4" s="5" t="inlineStr">
        <is>
          <t>&lt;=217 tCO2e/£m rev (-30%)</t>
        </is>
      </c>
      <c r="E4" s="5" t="inlineStr">
        <is>
          <t>SBTi 1.5C near-term pathway (Industrials)</t>
        </is>
      </c>
    </row>
    <row r="5">
      <c r="A5" s="7" t="inlineStr">
        <is>
          <t>Renewable share</t>
        </is>
      </c>
      <c r="B5" s="7" t="inlineStr">
        <is>
          <t>18%</t>
        </is>
      </c>
      <c r="C5" s="7" t="n">
        <v>2028</v>
      </c>
      <c r="D5" s="7" t="inlineStr">
        <is>
          <t>&gt;=60%</t>
        </is>
      </c>
      <c r="E5" s="7" t="inlineStr">
        <is>
          <t>UK Climate Change Committee 6th Carbon Budget</t>
        </is>
      </c>
    </row>
    <row r="6">
      <c r="A6" s="5" t="inlineStr">
        <is>
          <t>Supply chain audit</t>
        </is>
      </c>
      <c r="B6" s="5" t="inlineStr">
        <is>
          <t>35%</t>
        </is>
      </c>
      <c r="C6" s="5" t="n">
        <v>2027</v>
      </c>
      <c r="D6" s="5" t="inlineStr">
        <is>
          <t>&gt;=80%</t>
        </is>
      </c>
      <c r="E6" s="5" t="inlineStr">
        <is>
          <t>LMA SLLP best practice</t>
        </is>
      </c>
    </row>
    <row r="8">
      <c r="A8" s="12" t="inlineStr">
        <is>
          <t>A 30% carbon intensity reduction over four years (~7% per year) is consistent with the SBTi near-term pathway for the Industrials sector.</t>
        </is>
      </c>
    </row>
    <row r="10">
      <c r="A10" s="8" t="inlineStr">
        <is>
          <t>Carbon Intensity Glide Path (linear, baseline → SPT)</t>
        </is>
      </c>
    </row>
    <row r="11">
      <c r="A11" s="3" t="inlineStr">
        <is>
          <t>2024</t>
        </is>
      </c>
      <c r="B11" s="3" t="inlineStr">
        <is>
          <t>2025</t>
        </is>
      </c>
      <c r="C11" s="3" t="inlineStr">
        <is>
          <t>2026</t>
        </is>
      </c>
      <c r="D11" s="3" t="inlineStr">
        <is>
          <t>2027</t>
        </is>
      </c>
      <c r="E11" s="3" t="inlineStr">
        <is>
          <t>2028</t>
        </is>
      </c>
    </row>
    <row r="12">
      <c r="A12" s="5" t="n">
        <v>310</v>
      </c>
      <c r="B12" s="5" t="n">
        <v>286.8</v>
      </c>
      <c r="C12" s="5" t="n">
        <v>263.5</v>
      </c>
      <c r="D12" s="5" t="n">
        <v>240.2</v>
      </c>
      <c r="E12" s="5" t="n">
        <v>217</v>
      </c>
    </row>
  </sheetData>
  <mergeCells count="3">
    <mergeCell ref="A10:E10"/>
    <mergeCell ref="A1:E1"/>
    <mergeCell ref="A8:E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2" customWidth="1" min="4" max="4"/>
  </cols>
  <sheetData>
    <row r="1" ht="22" customHeight="1">
      <c r="A1" s="1" t="inlineStr">
        <is>
          <t>Margin Ratchet Calculator (Illustrative)</t>
        </is>
      </c>
    </row>
    <row r="3">
      <c r="A3" s="8" t="inlineStr">
        <is>
          <t>Inputs</t>
        </is>
      </c>
    </row>
    <row r="4">
      <c r="A4" s="6" t="inlineStr">
        <is>
          <t>Facility size (£m)</t>
        </is>
      </c>
      <c r="B4" s="13" t="n"/>
      <c r="C4" s="14" t="n"/>
      <c r="D4" s="15" t="n">
        <v>650</v>
      </c>
    </row>
    <row r="5">
      <c r="A5" s="6" t="inlineStr">
        <is>
          <t>Base margin (bps over SONIA)</t>
        </is>
      </c>
      <c r="B5" s="13" t="n"/>
      <c r="C5" s="14" t="n"/>
      <c r="D5" s="16" t="n">
        <v>120</v>
      </c>
    </row>
    <row r="6">
      <c r="A6" s="6" t="inlineStr">
        <is>
          <t>SONIA rate (%)</t>
        </is>
      </c>
      <c r="B6" s="13" t="n"/>
      <c r="C6" s="14" t="n"/>
      <c r="D6" s="17" t="n">
        <v>4.25</v>
      </c>
    </row>
    <row r="7">
      <c r="A7" s="6" t="inlineStr">
        <is>
          <t>Full step (bps) — all 3 SPTs met</t>
        </is>
      </c>
      <c r="B7" s="13" t="n"/>
      <c r="C7" s="14" t="n"/>
      <c r="D7" s="18" t="n">
        <v>7.5</v>
      </c>
    </row>
    <row r="8">
      <c r="A8" s="6" t="inlineStr">
        <is>
          <t>Partial step (bps) — 2 of 3 SPTs met</t>
        </is>
      </c>
      <c r="B8" s="13" t="n"/>
      <c r="C8" s="14" t="n"/>
      <c r="D8" s="18" t="n">
        <v>2.5</v>
      </c>
    </row>
    <row r="9">
      <c r="A9" s="6" t="inlineStr">
        <is>
          <t>Step-up (bps) — 0 SPTs met</t>
        </is>
      </c>
      <c r="B9" s="13" t="n"/>
      <c r="C9" s="14" t="n"/>
      <c r="D9" s="18" t="n">
        <v>7.5</v>
      </c>
    </row>
    <row r="10">
      <c r="A10" s="6" t="inlineStr">
        <is>
          <t>Number of SPTs met this period (0–3)</t>
        </is>
      </c>
      <c r="B10" s="13" t="n"/>
      <c r="C10" s="14" t="n"/>
      <c r="D10" s="16" t="n">
        <v>3</v>
      </c>
    </row>
    <row r="12">
      <c r="A12" s="8" t="inlineStr">
        <is>
          <t>Live Result</t>
        </is>
      </c>
    </row>
    <row r="13">
      <c r="A13" s="6" t="inlineStr">
        <is>
          <t>Margin adjustment (bps)</t>
        </is>
      </c>
      <c r="B13" s="13" t="n"/>
      <c r="C13" s="14" t="n"/>
      <c r="D13" s="19">
        <f>IF(D10=3,-D7,IF(D10=2,-D8,IF(D10=1,0,D9)))</f>
        <v/>
      </c>
    </row>
    <row r="14">
      <c r="A14" s="6" t="inlineStr">
        <is>
          <t>Adjusted margin (bps over SONIA)</t>
        </is>
      </c>
      <c r="B14" s="13" t="n"/>
      <c r="C14" s="14" t="n"/>
      <c r="D14" s="20">
        <f>D5+D13</f>
        <v/>
      </c>
    </row>
    <row r="15">
      <c r="A15" s="6" t="inlineStr">
        <is>
          <t>All-in rate (%)</t>
        </is>
      </c>
      <c r="B15" s="13" t="n"/>
      <c r="C15" s="14" t="n"/>
      <c r="D15" s="21">
        <f>D6+D14/100</f>
        <v/>
      </c>
    </row>
    <row r="16">
      <c r="A16" s="6" t="inlineStr">
        <is>
          <t>Annual interest cost (£m, full facility drawn)</t>
        </is>
      </c>
      <c r="B16" s="13" t="n"/>
      <c r="C16" s="14" t="n"/>
      <c r="D16" s="22">
        <f>D4*D15/100</f>
        <v/>
      </c>
    </row>
    <row r="18">
      <c r="A18" s="8" t="inlineStr">
        <is>
          <t>Scenario Comparison (illustrative, at inputs above)</t>
        </is>
      </c>
    </row>
    <row r="19">
      <c r="A19" s="3" t="inlineStr">
        <is>
          <t>SPTs met</t>
        </is>
      </c>
      <c r="B19" s="3" t="inlineStr">
        <is>
          <t>Margin adj (bps)</t>
        </is>
      </c>
      <c r="C19" s="3" t="inlineStr">
        <is>
          <t>Adjusted margin (bps)</t>
        </is>
      </c>
      <c r="D19" s="3" t="inlineStr">
        <is>
          <t>Annual interest cost (£m)</t>
        </is>
      </c>
    </row>
    <row r="20">
      <c r="A20" s="5" t="n">
        <v>3</v>
      </c>
      <c r="B20" s="19">
        <f>IF(3=3,-D7,IF(3=2,-D8,IF(3=1,0,D9)))</f>
        <v/>
      </c>
      <c r="C20" s="20">
        <f>D5+B20</f>
        <v/>
      </c>
      <c r="D20" s="22">
        <f>D4*(D6+C20/100)/100</f>
        <v/>
      </c>
    </row>
    <row r="21">
      <c r="A21" s="7" t="n">
        <v>2</v>
      </c>
      <c r="B21" s="23">
        <f>IF(2=3,-D7,IF(2=2,-D8,IF(2=1,0,D9)))</f>
        <v/>
      </c>
      <c r="C21" s="24">
        <f>D5+B21</f>
        <v/>
      </c>
      <c r="D21" s="25">
        <f>D4*(D6+C21/100)/100</f>
        <v/>
      </c>
    </row>
    <row r="22">
      <c r="A22" s="5" t="n">
        <v>1</v>
      </c>
      <c r="B22" s="19">
        <f>IF(1=3,-D7,IF(1=2,-D8,IF(1=1,0,D9)))</f>
        <v/>
      </c>
      <c r="C22" s="20">
        <f>D5+B22</f>
        <v/>
      </c>
      <c r="D22" s="22">
        <f>D4*(D6+C22/100)/100</f>
        <v/>
      </c>
    </row>
    <row r="23">
      <c r="A23" s="7" t="n">
        <v>0</v>
      </c>
      <c r="B23" s="23">
        <f>IF(0=3,-D7,IF(0=2,-D8,IF(0=1,0,D9)))</f>
        <v/>
      </c>
      <c r="C23" s="24">
        <f>D5+B23</f>
        <v/>
      </c>
      <c r="D23" s="25">
        <f>D4*(D6+C23/100)/100</f>
        <v/>
      </c>
    </row>
    <row r="25">
      <c r="A25" s="12" t="inlineStr">
        <is>
          <t>All figures illustrative only — hypothetical borrower, facility, and rates. Yellow cells are editable inputs; all totals recalculate automatically.</t>
        </is>
      </c>
    </row>
  </sheetData>
  <mergeCells count="16">
    <mergeCell ref="A10:C10"/>
    <mergeCell ref="A1:D1"/>
    <mergeCell ref="A18:D18"/>
    <mergeCell ref="A13:C13"/>
    <mergeCell ref="A5:C5"/>
    <mergeCell ref="A12:D12"/>
    <mergeCell ref="A8:C8"/>
    <mergeCell ref="A3:D3"/>
    <mergeCell ref="A6:C6"/>
    <mergeCell ref="A14:C14"/>
    <mergeCell ref="A9:C9"/>
    <mergeCell ref="A25:D25"/>
    <mergeCell ref="A7:C7"/>
    <mergeCell ref="A15:C15"/>
    <mergeCell ref="A4:C4"/>
    <mergeCell ref="A16:C16"/>
  </mergeCells>
  <dataValidations count="1">
    <dataValidation sqref="D10" showDropDown="0" showInputMessage="0" showErrorMessage="1" allowBlank="0" errorTitle="Invalid entry" error="Enter a whole number 0–3." type="whole" operator="between">
      <formula1>0</formula1>
      <formula2>3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2026-09-30T18:37:23Z</dcterms:created>
  <dcterms:modified xmlns:dcterms="http://purl.org/dc/terms/" xmlns:xsi="http://www.w3.org/2001/XMLSchema-instance" xsi:type="dcterms:W3CDTF">2026-09-30T18:37:23Z</dcterms:modified>
</cp:coreProperties>
</file>