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hangyuzhao/Downloads/"/>
    </mc:Choice>
  </mc:AlternateContent>
  <xr:revisionPtr revIDLastSave="0" documentId="13_ncr:1_{B6FCC566-32BA-8E43-8994-1072CC5FC9E7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Summary Dashboard" sheetId="1" r:id="rId1"/>
    <sheet name="Raw Data" sheetId="2" r:id="rId2"/>
    <sheet name="Annual Issuance" sheetId="3" r:id="rId3"/>
    <sheet name="Country &amp; Sector" sheetId="4" r:id="rId4"/>
    <sheet name="SLB Analysis" sheetId="5" r:id="rId5"/>
    <sheet name="Greenium Analys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6" l="1"/>
  <c r="C21" i="6"/>
  <c r="E21" i="6" s="1"/>
  <c r="F21" i="6" s="1"/>
  <c r="B21" i="6"/>
  <c r="D20" i="6"/>
  <c r="C20" i="6"/>
  <c r="E20" i="6" s="1"/>
  <c r="F20" i="6" s="1"/>
  <c r="B20" i="6"/>
  <c r="D19" i="6"/>
  <c r="C19" i="6"/>
  <c r="E19" i="6" s="1"/>
  <c r="B19" i="6"/>
  <c r="D12" i="5"/>
  <c r="D11" i="5"/>
  <c r="D10" i="5"/>
  <c r="D9" i="5"/>
  <c r="D8" i="5"/>
  <c r="D7" i="5"/>
  <c r="D6" i="5"/>
  <c r="C15" i="4"/>
  <c r="C14" i="4"/>
  <c r="C13" i="4"/>
  <c r="C12" i="4"/>
  <c r="C11" i="4"/>
  <c r="C10" i="4"/>
  <c r="C9" i="4"/>
  <c r="C8" i="4"/>
  <c r="C7" i="4"/>
  <c r="C6" i="4"/>
  <c r="D33" i="3"/>
  <c r="D32" i="3"/>
  <c r="D31" i="3"/>
  <c r="D30" i="3"/>
  <c r="G7" i="3"/>
  <c r="F7" i="3"/>
  <c r="E7" i="3"/>
  <c r="D7" i="3"/>
  <c r="C7" i="3"/>
  <c r="B7" i="3"/>
  <c r="E22" i="6" l="1"/>
  <c r="F19" i="6"/>
</calcChain>
</file>

<file path=xl/sharedStrings.xml><?xml version="1.0" encoding="utf-8"?>
<sst xmlns="http://schemas.openxmlformats.org/spreadsheetml/2006/main" count="4558" uniqueCount="595">
  <si>
    <t>GREEN BOND MARKET ANALYSIS — EXECUTIVE SUMMARY</t>
  </si>
  <si>
    <t>UCL Sustainable Finance Portfolio  |  Project 1: Green Bond Market Analysis  |  ShangyuZ</t>
  </si>
  <si>
    <t>Total Issuance</t>
  </si>
  <si>
    <t>Total Deals</t>
  </si>
  <si>
    <t>Years Covered</t>
  </si>
  <si>
    <t>Countries</t>
  </si>
  <si>
    <t>Green Bond %</t>
  </si>
  <si>
    <t>SLB Growth</t>
  </si>
  <si>
    <t>$650.0bn</t>
  </si>
  <si>
    <t>2018–2024</t>
  </si>
  <si>
    <t>69</t>
  </si>
  <si>
    <t>67%</t>
  </si>
  <si>
    <t>Rapid</t>
  </si>
  <si>
    <t>Dataset total (USD)</t>
  </si>
  <si>
    <t>Across all themes</t>
  </si>
  <si>
    <t>7-year time series</t>
  </si>
  <si>
    <t>Unique issuers</t>
  </si>
  <si>
    <t>Share of total deals</t>
  </si>
  <si>
    <t>Fastest growing theme</t>
  </si>
  <si>
    <t>KEY FINDINGS</t>
  </si>
  <si>
    <t>Market Growth</t>
  </si>
  <si>
    <t>Deal volume grew from 10 deals in 2018 to 238 in 2023 — a 2280% increase over 5 years.</t>
  </si>
  <si>
    <t>Dominant Theme</t>
  </si>
  <si>
    <t>Green bonds account for 67% of all deals in this dataset, confirming market leadership.</t>
  </si>
  <si>
    <t>SLB Emergence</t>
  </si>
  <si>
    <t>Sustainability-Linked Bonds (SLBs) emerged as the fastest-growing instrument, growing from near zero pre-2020 to significant market share by 2022–2023.</t>
  </si>
  <si>
    <t>Geographic Concentration</t>
  </si>
  <si>
    <t>The top 3 countries (China, Germany, USA) account for a significant share of deal count.</t>
  </si>
  <si>
    <t>Sovereign Dominance</t>
  </si>
  <si>
    <t>Sovereign issuers represent the largest sector by volume, reflecting government-led green finance commitments and climate policy targets.</t>
  </si>
  <si>
    <t>Greenium</t>
  </si>
  <si>
    <t>Greenium analysis pending Bloomberg data collection — see Greenium Analysis sheet for methodology and input framework.</t>
  </si>
  <si>
    <t>COLOUR CODING GUIDE</t>
  </si>
  <si>
    <t>Blue text</t>
  </si>
  <si>
    <t>Hardcoded input values (data from source)</t>
  </si>
  <si>
    <t>Black text</t>
  </si>
  <si>
    <t>Formula-calculated values</t>
  </si>
  <si>
    <t>Green background</t>
  </si>
  <si>
    <t>Green bond data</t>
  </si>
  <si>
    <t>Yellow background</t>
  </si>
  <si>
    <t>Conventional bond data (for greenium comparison)</t>
  </si>
  <si>
    <t>Issuer Name</t>
  </si>
  <si>
    <t>Theme</t>
  </si>
  <si>
    <t>Issue Date</t>
  </si>
  <si>
    <t>Amount Issued</t>
  </si>
  <si>
    <t>Currency</t>
  </si>
  <si>
    <t>Amount (USD)</t>
  </si>
  <si>
    <t>Country</t>
  </si>
  <si>
    <t>Sector</t>
  </si>
  <si>
    <t>Narrative</t>
  </si>
  <si>
    <t>Year</t>
  </si>
  <si>
    <t>Amount_USD_bn</t>
  </si>
  <si>
    <t>Volkswagen AG</t>
  </si>
  <si>
    <t>Green</t>
  </si>
  <si>
    <t>EUR</t>
  </si>
  <si>
    <t>Germany</t>
  </si>
  <si>
    <t>0</t>
  </si>
  <si>
    <t>Climate Bonds Aligned - Volkswagen AG. Largest Companies By Revenue (Fortune 500 Global  annual reports and other publicly available information)</t>
  </si>
  <si>
    <t>Bank of China Ltd</t>
  </si>
  <si>
    <t>USD</t>
  </si>
  <si>
    <t>China</t>
  </si>
  <si>
    <t>Commercial Bank</t>
  </si>
  <si>
    <t>Climate Bonds Aligned - Bank of China Ltd. Largest Companies By Revenue (Fortune 500 Global  annual reports and other publicly available information)</t>
  </si>
  <si>
    <t>Citigroup Inc</t>
  </si>
  <si>
    <t>USA</t>
  </si>
  <si>
    <t>Financial</t>
  </si>
  <si>
    <t>Climate Bonds Aligned - Citigroup Inc. Largest Companies By Revenue (Fortune 500 Global  annual reports and other publicly available information)</t>
  </si>
  <si>
    <t>Bank of China Ltd/Panama</t>
  </si>
  <si>
    <t>Sustainability</t>
  </si>
  <si>
    <t>Banks</t>
  </si>
  <si>
    <t>Climate Bonds Aligned - Bank of China Ltd/Panama. Largest Companies By Revenue (Fortune 500 Global  annual reports and other publicly available information)</t>
  </si>
  <si>
    <t>Bank of China Ltd/Hungarian</t>
  </si>
  <si>
    <t>Climate Bonds Aligned - Bank of China Ltd/Hungarian. Largest Companies By Revenue (Fortune 500 Global  annual reports and other publicly available information)</t>
  </si>
  <si>
    <t>NOK</t>
  </si>
  <si>
    <t>Finance</t>
  </si>
  <si>
    <t>Stellantis NV</t>
  </si>
  <si>
    <t>Netherlands</t>
  </si>
  <si>
    <t>Industry</t>
  </si>
  <si>
    <t>Climate Bonds Aligned - Stellantis NV. Largest Companies By Revenue (Fortune 500 Global  annual reports and other publicly available information)</t>
  </si>
  <si>
    <t>AUD</t>
  </si>
  <si>
    <t>SEK</t>
  </si>
  <si>
    <t>HKD</t>
  </si>
  <si>
    <t>Volkswagen Financial Services AG</t>
  </si>
  <si>
    <t>Leasing</t>
  </si>
  <si>
    <t>Climate Bonds Aligned - Volkswagen Financial Services AG. Largest Companies By Revenue (Fortune 500 Global  annual reports and other publicly available information)</t>
  </si>
  <si>
    <t>Agricultural Bank of China Ltd</t>
  </si>
  <si>
    <t>Climate Bonds Aligned - Agricultural Bank of China Ltd. Largest Companies By Revenue (Fortune 500 Global  annual reports and other publicly available information)</t>
  </si>
  <si>
    <t>Bank of America Corp</t>
  </si>
  <si>
    <t>Climate Bonds Aligned - Bank of America Corp. Largest Companies By Revenue (Fortune 500 Global  annual reports and other publicly available information)</t>
  </si>
  <si>
    <t>CNY</t>
  </si>
  <si>
    <t>Bank of China Ltd/Sydney</t>
  </si>
  <si>
    <t>Climate Bonds Aligned - Bank of China Ltd/Sydney. Largest Companies By Revenue (Fortune 500 Global  annual reports and other publicly available information)</t>
  </si>
  <si>
    <t>General Motors Co</t>
  </si>
  <si>
    <t>Transport</t>
  </si>
  <si>
    <t>Climate Bonds Aligned - General Motors Co. Largest Companies By Revenue (Fortune 500 Global  annual reports and other publicly available information)</t>
  </si>
  <si>
    <t>Bank of America</t>
  </si>
  <si>
    <t>Diversified Banks</t>
  </si>
  <si>
    <t>Climate Bonds Aligned - Bank of America. Largest Companies By Revenue (Fortune 500 Global  annual reports and other publicly available information)</t>
  </si>
  <si>
    <t>Bank of China Ltd/Macau</t>
  </si>
  <si>
    <t>Climate Bonds Aligned - Bank of China Ltd/Macau. Largest Companies By Revenue (Fortune 500 Global  annual reports and other publicly available information)</t>
  </si>
  <si>
    <t>Bank of China Ltd/Hong Kong</t>
  </si>
  <si>
    <t>Climate Bonds Aligned - Bank of China Ltd/Hong Kong. Largest Companies By Revenue (Fortune 500 Global  annual reports and other publicly available information)</t>
  </si>
  <si>
    <t>Mercedes-Benz Group AG</t>
  </si>
  <si>
    <t>Climate Bonds Aligned - Mercedes-Benz Group AG. Largest Companies By Revenue (Fortune 500 Global  annual reports and other publicly available information)</t>
  </si>
  <si>
    <t>CHF</t>
  </si>
  <si>
    <t>China_HK</t>
  </si>
  <si>
    <t>China State Construction International Investments Limited</t>
  </si>
  <si>
    <t>Climate Bonds Aligned - China State Construction International Investments Limited. Largest Companies By Revenue (Fortune 500 Global  annual reports and other publicly available information)</t>
  </si>
  <si>
    <t>Enel SpA</t>
  </si>
  <si>
    <t>Italy</t>
  </si>
  <si>
    <t>Energy</t>
  </si>
  <si>
    <t>Climate Bonds Aligned - Enel SpA. Largest Companies By Revenue (Fortune 500 Global  annual reports and other publicly available information)</t>
  </si>
  <si>
    <t>Hanwha Group Corp</t>
  </si>
  <si>
    <t>KRW</t>
  </si>
  <si>
    <t>South Korea</t>
  </si>
  <si>
    <t>Climate Bonds Aligned - Hanwha Group Corp. Largest Family Businesses (EY and University of St.Gallen Global 500 Family Business Index  annual reports  and other publicly available information)</t>
  </si>
  <si>
    <t>Mars Inc</t>
  </si>
  <si>
    <t>Food &amp; Beverage</t>
  </si>
  <si>
    <t>Climate Bonds Aligned - Mars Inc. Largest Family Businesses (EY and University of St.Gallen Global 500 Family Business Index  annual reports  and other publicly available information)</t>
  </si>
  <si>
    <t>Hanwha Group</t>
  </si>
  <si>
    <t>Climate Bonds Aligned - Hanwha Group. Largest Family Businesses (EY and University of St.Gallen Global 500 Family Business Index  annual reports  and other publicly available information)</t>
  </si>
  <si>
    <t>Ford Motor Co</t>
  </si>
  <si>
    <t>Climate Bonds Aligned - Ford Motor Co. Largest Family Businesses (EY and University of St.Gallen Global 500 Family Business Index  annual reports  and other publicly available information)</t>
  </si>
  <si>
    <t>Hanwha Corp</t>
  </si>
  <si>
    <t>Climate Bonds Aligned - Hanwha Corp. Largest Family Businesses (EY and University of St.Gallen Global 500 Family Business Index  annual reports  and other publicly available information)</t>
  </si>
  <si>
    <t>Hanwha Solutions Corp</t>
  </si>
  <si>
    <t>Renewable Energy</t>
  </si>
  <si>
    <t>Climate Bonds Aligned - Hanwha Solutions Corp. Largest Family Businesses (EY and University of St.Gallen Global 500 Family Business Index  annual reports  and other publicly available information)</t>
  </si>
  <si>
    <t>Hanwha Solutions</t>
  </si>
  <si>
    <t>Climate Bonds Aligned - Hanwha Solutions. Largest Family Businesses (EY and University of St.Gallen Global 500 Family Business Index  annual reports  and other publicly available information)</t>
  </si>
  <si>
    <t>Comcast Corp</t>
  </si>
  <si>
    <t>Communications</t>
  </si>
  <si>
    <t>Climate Bonds Aligned - Comcast Corp. Largest Family Businesses (EY and University of St.Gallen Global 500 Family Business Index  annual reports  and other publicly available information)</t>
  </si>
  <si>
    <t>CK Hutchison Holdings Ltd</t>
  </si>
  <si>
    <t>Climate Bonds Aligned - CK Hutchison Holdings Ltd. Largest Family Businesses (EY and University of St.Gallen Global 500 Family Business Index  annual reports  and other publicly available information)</t>
  </si>
  <si>
    <t>Achmea BV</t>
  </si>
  <si>
    <t>Climate Bonds Aligned - Achmea BV. Largest Private Non-Governmental Companies by Revenue (Based on annual reports and other publicly available information)</t>
  </si>
  <si>
    <t>Groupe BPCE</t>
  </si>
  <si>
    <t>France</t>
  </si>
  <si>
    <t>Climate Bonds Aligned - Groupe BPCE. Largest Private Non-Governmental Companies by Revenue (Based on annual reports and other publicly available information)</t>
  </si>
  <si>
    <t>ZF Friedrichshafen AG</t>
  </si>
  <si>
    <t>Climate Bonds Aligned - ZF Friedrichshafen AG. Largest Private Non-Governmental Companies by Revenue (Based on annual reports and other publicly available information)</t>
  </si>
  <si>
    <t>ZF Friedrichshafen</t>
  </si>
  <si>
    <t>Climate Bonds Aligned - ZF Friedrichshafen. Largest Private Non-Governmental Companies by Revenue (Based on annual reports and other publicly available information)</t>
  </si>
  <si>
    <t>Financial Institution</t>
  </si>
  <si>
    <t>TWD</t>
  </si>
  <si>
    <t>Jiangsu Shagang Group Co. Ltd</t>
  </si>
  <si>
    <t>Climate Bonds Aligned - Jiangsu Shagang Group Co. Ltd. Largest Private Non-Governmental Companies by Revenue (Based on annual reports and other publicly available information)</t>
  </si>
  <si>
    <t>Industry (Transport)</t>
  </si>
  <si>
    <t>Calpine Corporation</t>
  </si>
  <si>
    <t>Climate Bonds Aligned - Calpine Corporation. Largest Private Non-Governmental Companies by Revenue (Based on annual reports and other publicly available information)</t>
  </si>
  <si>
    <t>Fidelity Investments</t>
  </si>
  <si>
    <t>Investment Company</t>
  </si>
  <si>
    <t>Climate Bonds Aligned - Fidelity Investments. Largest Private Non-Governmental Companies by Revenue (Based on annual reports and other publicly available information)</t>
  </si>
  <si>
    <t>TSMC</t>
  </si>
  <si>
    <t>Taiwan</t>
  </si>
  <si>
    <t>Climate Bonds Aligned - TSMC. Largest Technology Companies by Revenue (Fortune Global 500  annual reports and other publicly available information)</t>
  </si>
  <si>
    <t>LG Electronics Inc</t>
  </si>
  <si>
    <t>Hardware</t>
  </si>
  <si>
    <t>Climate Bonds Aligned - LG Electronics Inc. Largest Technology Companies by Revenue (Fortune Global 500  annual reports and other publicly available information)</t>
  </si>
  <si>
    <t>Lenovo</t>
  </si>
  <si>
    <t>Climate Bonds Aligned - Lenovo. Largest Technology Companies by Revenue (Fortune Global 500  annual reports and other publicly available information)</t>
  </si>
  <si>
    <t>Hitachi Construction Machinery Co Ltd</t>
  </si>
  <si>
    <t>JPY</t>
  </si>
  <si>
    <t>Japan</t>
  </si>
  <si>
    <t>Climate Bonds Aligned - Hitachi Construction Machinery Co Ltd. Largest Technology Companies by Revenue (Fortune Global 500  annual reports and other publicly available information)</t>
  </si>
  <si>
    <t>GoodLeap LLC</t>
  </si>
  <si>
    <t>Climate Bonds Aligned - GoodLeap LLC. Unicorn Startup Companies (The Wall Street Journal  Fortune Magazine  CNNMoney/CB Insights  TechCrunch  PitchBook/Morningstar  Tech in Asia and other publicly available information)</t>
  </si>
  <si>
    <t>Goodleap LLC</t>
  </si>
  <si>
    <t>Climate Bonds Aligned - Goodleap LLC. Unicorn Startup Companies (The Wall Street Journal  Fortune Magazine  CNNMoney/CB Insights  TechCrunch  PitchBook/Morningstar  Tech in Asia and other publicly available information)</t>
  </si>
  <si>
    <t>Northvolt AB</t>
  </si>
  <si>
    <t>Sweden</t>
  </si>
  <si>
    <t>Climate Bonds Aligned - Northvolt AB. Unicorn Startup Companies (The Wall Street Journal  Fortune Magazine  CNNMoney/CB Insights  TechCrunch  PitchBook/Morningstar  Tech in Asia and other publicly available information)</t>
  </si>
  <si>
    <t>Agrarius Sustainability Engineered RF Ltd</t>
  </si>
  <si>
    <t>SLB</t>
  </si>
  <si>
    <t>ZAR</t>
  </si>
  <si>
    <t>South Africa</t>
  </si>
  <si>
    <t>Real Estate</t>
  </si>
  <si>
    <t>This is a Sustainability-linked Bond issuance from Agrarius Sustainability Engineered RF Ltd.</t>
  </si>
  <si>
    <t>Materials</t>
  </si>
  <si>
    <t>Barloworld Ltd</t>
  </si>
  <si>
    <t>Industrials</t>
  </si>
  <si>
    <t>This is a Sustainability-linked Bond issuance from Barloworld Ltd.</t>
  </si>
  <si>
    <t>Fortress Real Estate Investments Ltd</t>
  </si>
  <si>
    <t>This is a Sustainability-linked Bond issuance from Fortress Real Estate Investments Ltd.</t>
  </si>
  <si>
    <t>Rikshem AB</t>
  </si>
  <si>
    <t>This is a Sustainability-linked Bond issuance from Rikshem AB.</t>
  </si>
  <si>
    <t>Koninklijke Ahold Delhaize NV</t>
  </si>
  <si>
    <t xml:space="preserve">Netherlands </t>
  </si>
  <si>
    <t>Agri &amp; Food</t>
  </si>
  <si>
    <t>This is a Sustainability-linked Bond issuance from Koninklijke Ahold Delhaize NV.</t>
  </si>
  <si>
    <t>Heathrow Funding Ltd</t>
  </si>
  <si>
    <t>GBP</t>
  </si>
  <si>
    <t>United Kingdom</t>
  </si>
  <si>
    <t>This is a Sustainability-linked Bond issuance from Heathrow Funding Ltd.</t>
  </si>
  <si>
    <t>TUI AG</t>
  </si>
  <si>
    <t>Consumer Discretionary</t>
  </si>
  <si>
    <t>This is a Sustainability-linked Bond issuance from TUI AG.</t>
  </si>
  <si>
    <t>Autostrade per l'Italia SpA</t>
  </si>
  <si>
    <t>This is a Sustainability-linked Bond issuance from Autostrade per l'Italia SpA.</t>
  </si>
  <si>
    <t>Snam SpA</t>
  </si>
  <si>
    <t>Oil &amp; Gas</t>
  </si>
  <si>
    <t>This is a Sustainability-linked Bond issuance from Snam SpA.</t>
  </si>
  <si>
    <t>Goldstory SAS</t>
  </si>
  <si>
    <t>This is a Sustainability-linked Bond issuance from Goldstory SAS.</t>
  </si>
  <si>
    <t>Enel Finance International NV</t>
  </si>
  <si>
    <t>Utilities</t>
  </si>
  <si>
    <t>This is a Sustainability-linked Bond issuance from Enel Finance International NV.</t>
  </si>
  <si>
    <t>Mundys SpA</t>
  </si>
  <si>
    <t>Financials</t>
  </si>
  <si>
    <t>This is a Sustainability-linked Bond issuance from Mundys SpA.</t>
  </si>
  <si>
    <t>Nordea Bank Abp</t>
  </si>
  <si>
    <t>Finland</t>
  </si>
  <si>
    <t>This is a Sustainability-linked Bond issuance from Nordea Bank Abp.</t>
  </si>
  <si>
    <t>Black Sea Trade &amp; Development Bank</t>
  </si>
  <si>
    <t>Supernational</t>
  </si>
  <si>
    <t>Government</t>
  </si>
  <si>
    <t>This is a Sustainability-linked Bond issuance from Black Sea Trade &amp; Development Bank.</t>
  </si>
  <si>
    <t>Kinetik Holdings LP</t>
  </si>
  <si>
    <t>United States</t>
  </si>
  <si>
    <t>This is a Sustainability-linked Bond issuance from Kinetik Holdings LP.</t>
  </si>
  <si>
    <t>JBS USA Food Co</t>
  </si>
  <si>
    <t>This is a Sustainability-linked Bond issuance from JBS USA Food Co.</t>
  </si>
  <si>
    <t>JBS USA Holding Lux Sarl/ JBS USA Food Co/ JBS Lux Co Sarl</t>
  </si>
  <si>
    <t>This is a Sustainability-linked Bond issuance from JBS USA Holding Lux Sarl/ JBS USA Food Co/ JBS Lux Co Sarl.</t>
  </si>
  <si>
    <t>Inversiones CMPC SA</t>
  </si>
  <si>
    <t>Chile</t>
  </si>
  <si>
    <t>Paper and Pulp</t>
  </si>
  <si>
    <t>This is a Sustainability-linked Bond issuance from Inversiones CMPC SA.</t>
  </si>
  <si>
    <t>International Bank for Reconstruction &amp; Development</t>
  </si>
  <si>
    <t>Supranational</t>
  </si>
  <si>
    <t>This is a Sustainability-linked Bond issuance from International Bank for Reconstruction &amp; Development.</t>
  </si>
  <si>
    <t>STT GDC Pte Ltd</t>
  </si>
  <si>
    <t>SGD</t>
  </si>
  <si>
    <t>Singapore</t>
  </si>
  <si>
    <t>This is a Sustainability-linked Bond issuance from STT GDC Pte Ltd.</t>
  </si>
  <si>
    <t>Zengun Group AB</t>
  </si>
  <si>
    <t>This is a Sustainability-linked Bond issuance from Zengun Group AB.</t>
  </si>
  <si>
    <t>Uppsala Kommun</t>
  </si>
  <si>
    <t>This is a Sustainability-linked Bond issuance from Uppsala Kommun.</t>
  </si>
  <si>
    <t>Humlegarden Fastigheter AB</t>
  </si>
  <si>
    <t>This is a Sustainability-linked Bond issuance from Humlegarden Fastigheter AB.</t>
  </si>
  <si>
    <t>NOS SGPS SA</t>
  </si>
  <si>
    <t>Portugal</t>
  </si>
  <si>
    <t>This is a Sustainability-linked Bond issuance from NOS SGPS SA.</t>
  </si>
  <si>
    <t>Mota-Engil SGPS SA</t>
  </si>
  <si>
    <t>This is a Sustainability-linked Bond issuance from Mota-Engil SGPS SA.</t>
  </si>
  <si>
    <t>Banco Promerica de Costa Rica SA</t>
  </si>
  <si>
    <t>Costa Rica</t>
  </si>
  <si>
    <t>This is a Sustainability-linked Bond issuance from Banco Promerica de Costa Rica SA.</t>
  </si>
  <si>
    <t>Twma Finance AS</t>
  </si>
  <si>
    <t>Norway</t>
  </si>
  <si>
    <t>This is a Sustainability-linked Bond issuance from Twma Finance AS.</t>
  </si>
  <si>
    <t>Wallenius Wilhelmsen ASA</t>
  </si>
  <si>
    <t>Shipping</t>
  </si>
  <si>
    <t>This is a Sustainability-linked Bond issuance from Wallenius Wilhelmsen ASA.</t>
  </si>
  <si>
    <t>Cenviro Sdn Bhd</t>
  </si>
  <si>
    <t>MYR</t>
  </si>
  <si>
    <t>Malaysia</t>
  </si>
  <si>
    <t>This is a Sustainability-linked Bond issuance from Cenviro Sdn Bhd.</t>
  </si>
  <si>
    <t>Bank Pembangunan Malaysia Bhd</t>
  </si>
  <si>
    <t>This is a Sustainability-linked Bond issuance from Bank Pembangunan Malaysia Bhd.</t>
  </si>
  <si>
    <t>Hap Seng Management Sdn Bhd</t>
  </si>
  <si>
    <t>This is a Sustainability-linked Bond issuance from Hap Seng Management Sdn Bhd.</t>
  </si>
  <si>
    <t>Comision Federal de Electricidad</t>
  </si>
  <si>
    <t>MXN</t>
  </si>
  <si>
    <t>Mexico</t>
  </si>
  <si>
    <t>This is a Sustainability-linked Bond issuance from Comision Federal de Electricidad.</t>
  </si>
  <si>
    <t>Vinte Viviendas Integrales SAB de CV</t>
  </si>
  <si>
    <t>This is a Sustainability-linked Bond issuance from Vinte Viviendas Integrales SAB de CV.</t>
  </si>
  <si>
    <t>Grupo Aeroportuario del Pacifico SAB de CV</t>
  </si>
  <si>
    <t>This is a Sustainability-linked Bond issuance from Grupo Aeroportuario del Pacifico SAB de CV.</t>
  </si>
  <si>
    <t>Fibra Uno Administracion SA de CV</t>
  </si>
  <si>
    <t>This is a Sustainability-linked Bond issuance from Fibra Uno Administracion SA de CV.</t>
  </si>
  <si>
    <t>Grupo Elektra</t>
  </si>
  <si>
    <t>This is a Sustainability-linked Bond issuance from Grupo Elektra.</t>
  </si>
  <si>
    <t>Sony Bank Inc</t>
  </si>
  <si>
    <t>This is a Sustainability-linked Bond issuance from Sony Bank Inc.</t>
  </si>
  <si>
    <t>Fuyo General Lease Co Ltd</t>
  </si>
  <si>
    <t>This is a Sustainability-linked Bond issuance from Fuyo General Lease Co Ltd.</t>
  </si>
  <si>
    <t>JERA Co Inc</t>
  </si>
  <si>
    <t>This is a Sustainability-linked Bond issuance from JERA Co Inc.</t>
  </si>
  <si>
    <t>JA Mitsui Leasing Ltd</t>
  </si>
  <si>
    <t>This is a Sustainability-linked Bond issuance from JA Mitsui Leasing Ltd.</t>
  </si>
  <si>
    <t>Pusterla 1880 - SpA</t>
  </si>
  <si>
    <t>This is a Sustainability-linked Bond issuance from Pusterla 1880 - SpA.</t>
  </si>
  <si>
    <t>New Hope Group Co. Ltd.</t>
  </si>
  <si>
    <t>Food</t>
  </si>
  <si>
    <t>This is a Sustainability-linked Bond issuance from New Hope Group Co. Ltd..</t>
  </si>
  <si>
    <t>BEL SA</t>
  </si>
  <si>
    <t>This is a Sustainability-linked Bond issuance from BEL SA.</t>
  </si>
  <si>
    <t>RCI Banque SA</t>
  </si>
  <si>
    <t>Automobiles</t>
  </si>
  <si>
    <t>This is a Sustainability-linked Bond issuance from RCI Banque SA.</t>
  </si>
  <si>
    <t>Carrefour SA</t>
  </si>
  <si>
    <t>This is a Sustainability-linked Bond issuance from Carrefour SA.</t>
  </si>
  <si>
    <t>NGE SAS</t>
  </si>
  <si>
    <t>This is a Sustainability-linked Bond issuance from NGE SAS.</t>
  </si>
  <si>
    <t>Schneider Electric SE</t>
  </si>
  <si>
    <t>This is a Sustainability-linked Bond issuance from Schneider Electric SE.</t>
  </si>
  <si>
    <t>Compania de Empaques S.A.</t>
  </si>
  <si>
    <t>COP</t>
  </si>
  <si>
    <t>Colombia</t>
  </si>
  <si>
    <t>This is a Sustainability-linked Bond issuance from Compania de Empaques S.A..</t>
  </si>
  <si>
    <t>Juhua Group Corp</t>
  </si>
  <si>
    <t>Chemicals</t>
  </si>
  <si>
    <t>This is a Sustainability-linked Bond issuance from Juhua Group Corp.</t>
  </si>
  <si>
    <t>Sichuan Province Airport Group</t>
  </si>
  <si>
    <t>Airport</t>
  </si>
  <si>
    <t>This is a Sustainability-linked Bond issuance from Sichuan Province Airport Group.</t>
  </si>
  <si>
    <t>Henan Airport Investment Group Co. LTD</t>
  </si>
  <si>
    <t>This is a Sustainability-linked Bond issuance from Henan Airport Investment Group Co. LTD.</t>
  </si>
  <si>
    <t>Shandong Public Holdings Co. Ltd</t>
  </si>
  <si>
    <t>This is a Sustainability-linked Bond issuance from Shandong Public Holdings Co. Ltd.</t>
  </si>
  <si>
    <t>Bonos de la Tesoreria de la Republica</t>
  </si>
  <si>
    <t>CLP</t>
  </si>
  <si>
    <t>This is a Sustainability-linked Bond issuance from Bonos de la Tesoreria de la Republica.</t>
  </si>
  <si>
    <t>TELUS Corp</t>
  </si>
  <si>
    <t>CAD</t>
  </si>
  <si>
    <t>Canada</t>
  </si>
  <si>
    <t>This is a Sustainability-linked Bond issuance from TELUS Corp.</t>
  </si>
  <si>
    <t>Rede D'Or Sao Luiz SA</t>
  </si>
  <si>
    <t>BRL</t>
  </si>
  <si>
    <t>Brazil</t>
  </si>
  <si>
    <t>Health Care</t>
  </si>
  <si>
    <t>This is a Sustainability-linked Bond issuance from Rede D'Or Sao Luiz SA.</t>
  </si>
  <si>
    <t>Rumo Malha Paulista SA</t>
  </si>
  <si>
    <t>This is a Sustainability-linked Bond issuance from Rumo Malha Paulista SA.</t>
  </si>
  <si>
    <t>Compass Gas e Energia</t>
  </si>
  <si>
    <t>This is a Sustainability-linked Bond issuance from Compass Gas e Energia.</t>
  </si>
  <si>
    <t>Energisa S/A</t>
  </si>
  <si>
    <t>This is a Sustainability-linked Bond issuance from Energisa S/A.</t>
  </si>
  <si>
    <t>Elea Digital</t>
  </si>
  <si>
    <t>This is a Sustainability-linked Bond issuance from Elea Digital.</t>
  </si>
  <si>
    <t>Grupo Boticário</t>
  </si>
  <si>
    <t>This is a Sustainability-linked Bond issuance from Grupo Boticário.</t>
  </si>
  <si>
    <t>Algar Telecom SA</t>
  </si>
  <si>
    <t>Technology</t>
  </si>
  <si>
    <t>This is a Sustainability-linked Bond issuance from Algar Telecom SA.</t>
  </si>
  <si>
    <t>BAD 21 BVBA</t>
  </si>
  <si>
    <t>Belgium</t>
  </si>
  <si>
    <t>This is a Sustainability-linked Bond issuance from BAD 21 BVBA.</t>
  </si>
  <si>
    <t>Proximus SADP</t>
  </si>
  <si>
    <t>This is a Sustainability-linked Bond issuance from Proximus SADP.</t>
  </si>
  <si>
    <t>Red Surcos SA</t>
  </si>
  <si>
    <t>Argentina</t>
  </si>
  <si>
    <t>This is a Sustainability-linked Bond issuance from Red Surcos SA.</t>
  </si>
  <si>
    <t>Guotai Leasing Limited Company</t>
  </si>
  <si>
    <t>This is a Sustainability-linked Bond issuance from Guotai Leasing Limited Company.</t>
  </si>
  <si>
    <t>Xinghua City Construction Investment Co. Ltd.</t>
  </si>
  <si>
    <t>This is a Sustainability-linked Bond issuance from Xinghua City Construction Investment Co. Ltd..</t>
  </si>
  <si>
    <t>Xianyang Urban Development Group Co.  Ltd</t>
  </si>
  <si>
    <t>This is a Sustainability-linked Bond issuance from Xianyang Urban Development Group Co.  Ltd.</t>
  </si>
  <si>
    <t>Chengdu Economic&amp;Technology Development Zone Industrial Investment Group Co Ltd</t>
  </si>
  <si>
    <t>This is a Sustainability-linked Bond issuance from Chengdu Economic&amp;Technology Development Zone Industrial Investment Group Co Ltd.</t>
  </si>
  <si>
    <t>Chengdu Jingkai Industrial Investment Group Co.  Ltd</t>
  </si>
  <si>
    <t>This is a Sustainability-linked Bond issuance from Chengdu Jingkai Industrial Investment Group Co.  Ltd.</t>
  </si>
  <si>
    <t>Jiangyin New Guolian Group Co.  Ltd</t>
  </si>
  <si>
    <t>This is a Sustainability-linked Bond issuance from Jiangyin New Guolian Group Co.  Ltd.</t>
  </si>
  <si>
    <t>Juhua Group Corporation</t>
  </si>
  <si>
    <t>This is a Sustainability-linked Bond issuance from Juhua Group Corporation.</t>
  </si>
  <si>
    <t>China Construction Third Engineering Bureau Group Co. Ltd.</t>
  </si>
  <si>
    <t>This is a Sustainability-linked Bond issuance from China Construction Third Engineering Bureau Group Co. Ltd..</t>
  </si>
  <si>
    <t>Fuzhou Water Group Co.  Ltd</t>
  </si>
  <si>
    <t>This is a Sustainability-linked Bond issuance from Fuzhou Water Group Co.  Ltd.</t>
  </si>
  <si>
    <t>Yuexiu Guangzhou Finance Leasing Co. Ltd.</t>
  </si>
  <si>
    <t>This is a Sustainability-linked Bond issuance from Yuexiu Guangzhou Finance Leasing Co. Ltd..</t>
  </si>
  <si>
    <t>Powchan Financial Group Co.  Ltd.</t>
  </si>
  <si>
    <t>This is a Sustainability-linked Bond issuance from Powchan Financial Group Co.  Ltd..</t>
  </si>
  <si>
    <t>Western Mining Group Co. Ltd</t>
  </si>
  <si>
    <t>This is a Sustainability-linked Bond issuance from Western Mining Group Co. Ltd.</t>
  </si>
  <si>
    <t>Jizhong Energy Group Co.  Ltd</t>
  </si>
  <si>
    <t>This is a Sustainability-linked Bond issuance from Jizhong Energy Group Co.  Ltd.</t>
  </si>
  <si>
    <t>Qingdao Jiaozhou City Development Investment Co.  Ltd.</t>
  </si>
  <si>
    <t>This is a Sustainability-linked Bond issuance from Qingdao Jiaozhou City Development Investment Co.  Ltd..</t>
  </si>
  <si>
    <t>CapitaMalls Property &amp; Investment Limited</t>
  </si>
  <si>
    <t>This is a Sustainability-linked Bond issuance from CapitaMalls Property &amp; Investment Limited.</t>
  </si>
  <si>
    <t>Enaex SA</t>
  </si>
  <si>
    <t>CLF</t>
  </si>
  <si>
    <t>This is a Sustainability-linked Bond issuance from Enaex SA.</t>
  </si>
  <si>
    <t>Republic of Iceland</t>
  </si>
  <si>
    <t>Iceland</t>
  </si>
  <si>
    <t>Sovereign</t>
  </si>
  <si>
    <t>Climate Bonds aligned Iceland sovereign issuance - Republic of Iceland.</t>
  </si>
  <si>
    <t>Finance Department Government of Sharjah</t>
  </si>
  <si>
    <t>UAE</t>
  </si>
  <si>
    <t>Climate Bonds aligned UAE sovereign issuance - Finance Department Government of Sharjah.</t>
  </si>
  <si>
    <t>Government of Romania</t>
  </si>
  <si>
    <t>Romania</t>
  </si>
  <si>
    <t>Climate Bonds aligned Romania sovereign issuance - Government of Romania.</t>
  </si>
  <si>
    <t>Mexico Government (United Mexican States)</t>
  </si>
  <si>
    <t>Climate Bonds aligned Mexico sovereign issuance - Mexico Government (United Mexican States).</t>
  </si>
  <si>
    <t>Government of Hungary</t>
  </si>
  <si>
    <t>Hungary</t>
  </si>
  <si>
    <t>Climate Bonds aligned Hungary sovereign issuance - Government of Hungary.</t>
  </si>
  <si>
    <t>Ivory Coast Government International Bond</t>
  </si>
  <si>
    <t>Cote d'Ivoire</t>
  </si>
  <si>
    <t>Climate Bonds aligned Cote d'Ivoire sovereign issuance - Ivory Coast Government International Bond.</t>
  </si>
  <si>
    <t>Republic of Austria</t>
  </si>
  <si>
    <t>Austria</t>
  </si>
  <si>
    <t>Climate Bonds aligned Austria sovereign issuance - Republic of Austria.</t>
  </si>
  <si>
    <t>Republic of Uzbekistan</t>
  </si>
  <si>
    <t>UZS</t>
  </si>
  <si>
    <t>Uzbekistan</t>
  </si>
  <si>
    <t>Climate Bonds aligned Uzbekistan sovereign issuance - Republic of Uzbekistan.</t>
  </si>
  <si>
    <t>Cyprus Government International Bond</t>
  </si>
  <si>
    <t>Cyprus</t>
  </si>
  <si>
    <t>Climate Bonds aligned Cyprus sovereign issuance - Cyprus Government International Bond.</t>
  </si>
  <si>
    <t>HUF</t>
  </si>
  <si>
    <t>BB Blue Financing Designated Activity Company (Barbados Blue Bond)</t>
  </si>
  <si>
    <t>Barbados</t>
  </si>
  <si>
    <t>Climate Bonds aligned Barbados sovereign issuance - BB Blue Financing Designated Activity Company (Barbados Blue Bond).</t>
  </si>
  <si>
    <t>Andorra International Bond</t>
  </si>
  <si>
    <t>Andorra</t>
  </si>
  <si>
    <t>Climate Bonds aligned Andorra sovereign issuance - Andorra International Bond.</t>
  </si>
  <si>
    <t>Latvia Government International Bond</t>
  </si>
  <si>
    <t>Latvia</t>
  </si>
  <si>
    <t>Climate Bonds aligned Latvia sovereign issuance - Latvia Government International Bond.</t>
  </si>
  <si>
    <t>Peru Government Bond</t>
  </si>
  <si>
    <t>Peru</t>
  </si>
  <si>
    <t>Climate Bonds aligned Peru sovereign issuance - Peru Government Bond.</t>
  </si>
  <si>
    <t>Republic of Serbia</t>
  </si>
  <si>
    <t>Serbia</t>
  </si>
  <si>
    <t>Climate Bonds aligned Serbia sovereign issuance - Republic of Serbia.</t>
  </si>
  <si>
    <t>Republic of Chile</t>
  </si>
  <si>
    <t>Climate Bonds aligned Chile sovereign issuance - Republic of Chile.</t>
  </si>
  <si>
    <t>Republic of Indonesia</t>
  </si>
  <si>
    <t>Indonesia</t>
  </si>
  <si>
    <t>Climate Bonds aligned Indonesia sovereign issuance - Republic of Indonesia.</t>
  </si>
  <si>
    <t>Isle of Man Government International Bond</t>
  </si>
  <si>
    <t>Isle of Man</t>
  </si>
  <si>
    <t>Climate Bonds aligned Isle of Man sovereign issuance - Isle of Man Government International Bond.</t>
  </si>
  <si>
    <t>Republic of Korea</t>
  </si>
  <si>
    <t>Climate Bonds aligned South Korea sovereign issuance - Republic of Korea.</t>
  </si>
  <si>
    <t>Social</t>
  </si>
  <si>
    <t>Benin Government International Bond</t>
  </si>
  <si>
    <t>Benin</t>
  </si>
  <si>
    <t>Climate Bonds aligned Benin sovereign issuance - Benin Government International Bond.</t>
  </si>
  <si>
    <t>Arab Republic of Egypt</t>
  </si>
  <si>
    <t>Egypt</t>
  </si>
  <si>
    <t>Climate Bonds aligned Egypt sovereign issuance - Arab Republic of Egypt.</t>
  </si>
  <si>
    <t>Kingdom of Sweden</t>
  </si>
  <si>
    <t>Climate Bonds aligned Sweden sovereign issuance - Kingdom of Sweden.</t>
  </si>
  <si>
    <t>Ecuador</t>
  </si>
  <si>
    <t>Climate Bonds aligned Ecuador sovereign issuance - Ecuador.</t>
  </si>
  <si>
    <t>Republic of Poland</t>
  </si>
  <si>
    <t>Poland</t>
  </si>
  <si>
    <t>Climate Bonds aligned Poland sovereign issuance - Republic of Poland.</t>
  </si>
  <si>
    <t>The Republic of Seychelles</t>
  </si>
  <si>
    <t>Seychelles</t>
  </si>
  <si>
    <t>Climate Bonds aligned Seychelles sovereign issuance - The Republic of Seychelles.</t>
  </si>
  <si>
    <t>Philippine Government International Bond</t>
  </si>
  <si>
    <t>Philippines</t>
  </si>
  <si>
    <t>Climate Bonds aligned Philippines sovereign issuance - Philippine Government International Bond.</t>
  </si>
  <si>
    <t>Malaysia Wakala Sukuk Bhd</t>
  </si>
  <si>
    <t>Climate Bonds aligned Malaysia sovereign issuance - Malaysia Wakala Sukuk Bhd.</t>
  </si>
  <si>
    <t>Hong Kong Special Administrative Region Government</t>
  </si>
  <si>
    <t>Climate Bonds aligned China_HK sovereign issuance - Hong Kong Special Administrative Region Government.</t>
  </si>
  <si>
    <t>GPS Blue Financing Designated Activity Company (Ecuador Blue Bond)</t>
  </si>
  <si>
    <t>Climate Bonds aligned Ecuador sovereign issuance - GPS Blue Financing Designated Activity Company (Ecuador Blue Bond).</t>
  </si>
  <si>
    <t>Republic of Uzbekistan International Bond</t>
  </si>
  <si>
    <t>Climate Bonds aligned Uzbekistan sovereign issuance - Republic of Uzbekistan International Bond.</t>
  </si>
  <si>
    <t>Republic of Türkiye</t>
  </si>
  <si>
    <t>Turkey</t>
  </si>
  <si>
    <t>Climate Bonds aligned Turkey sovereign issuance - Republic of Türkiye.</t>
  </si>
  <si>
    <t>Platinum Securities (Belize Blue Bond)</t>
  </si>
  <si>
    <t>Belize</t>
  </si>
  <si>
    <t>Climate Bonds aligned Belize sovereign issuance - Platinum Securities (Belize Blue Bond).</t>
  </si>
  <si>
    <t>IDR</t>
  </si>
  <si>
    <t>State of Israel</t>
  </si>
  <si>
    <t>Israel</t>
  </si>
  <si>
    <t>Climate Bonds aligned Israel sovereign issuance - State of Israel.</t>
  </si>
  <si>
    <t>Guatemala</t>
  </si>
  <si>
    <t>Climate Bonds aligned Guatemala sovereign issuance - Guatemala.</t>
  </si>
  <si>
    <t>Republic of Colombia</t>
  </si>
  <si>
    <t>Climate Bonds aligned Colombia sovereign issuance - Republic of Colombia.</t>
  </si>
  <si>
    <t>Brazilian Government International Bond</t>
  </si>
  <si>
    <t>Climate Bonds aligned Brazil sovereign issuance - Brazilian Government International Bond.</t>
  </si>
  <si>
    <t>Thailand Government Bond</t>
  </si>
  <si>
    <t>THB</t>
  </si>
  <si>
    <t>Thailand</t>
  </si>
  <si>
    <t>Climate Bonds aligned Thailand sovereign issuance - Thailand Government Bond.</t>
  </si>
  <si>
    <t>Slovenia Government Bond</t>
  </si>
  <si>
    <t>Slovenia</t>
  </si>
  <si>
    <t>Climate Bonds aligned Slovenia sovereign issuance - Slovenia Government Bond.</t>
  </si>
  <si>
    <t>Singapore Government</t>
  </si>
  <si>
    <t>Climate Bonds aligned Singapore sovereign issuance - Singapore Government.</t>
  </si>
  <si>
    <t>PEN</t>
  </si>
  <si>
    <t>New Zealand Government</t>
  </si>
  <si>
    <t>NZD</t>
  </si>
  <si>
    <t>New Zealand</t>
  </si>
  <si>
    <t>Climate Bonds aligned New Zealand sovereign issuance - New Zealand Government.</t>
  </si>
  <si>
    <t>Kingdom of the Netherlands</t>
  </si>
  <si>
    <t>Climate Bonds aligned Netherlands sovereign issuance - Kingdom of the Netherlands.</t>
  </si>
  <si>
    <t>Federal Government of Nigeria</t>
  </si>
  <si>
    <t>NGN</t>
  </si>
  <si>
    <t>Nigeria</t>
  </si>
  <si>
    <t>Climate Bonds aligned Nigeria sovereign issuance - Federal Government of Nigeria.</t>
  </si>
  <si>
    <t>Malaysia Government Investment Issue</t>
  </si>
  <si>
    <t>Climate Bonds aligned Malaysia sovereign issuance - Malaysia Government Investment Issue.</t>
  </si>
  <si>
    <t>State of the Grand-Duchy of Luxembourg</t>
  </si>
  <si>
    <t>Luxembourg</t>
  </si>
  <si>
    <t>Climate Bonds aligned Luxembourg sovereign issuance - State of the Grand-Duchy of Luxembourg.</t>
  </si>
  <si>
    <t>Republic of Lithuania</t>
  </si>
  <si>
    <t>Lithuania</t>
  </si>
  <si>
    <t>Climate Bonds aligned Lithuania sovereign issuance - Republic of Lithuania.</t>
  </si>
  <si>
    <t>Government of Japan</t>
  </si>
  <si>
    <t>Climate Bonds aligned Japan sovereign issuance - Government of Japan.</t>
  </si>
  <si>
    <t>Republic of Italy</t>
  </si>
  <si>
    <t>Climate Bonds aligned Italy sovereign issuance - Republic of Italy.</t>
  </si>
  <si>
    <t>Republic of India</t>
  </si>
  <si>
    <t>INR</t>
  </si>
  <si>
    <t>India</t>
  </si>
  <si>
    <t>Climate Bonds aligned India sovereign issuance - Republic of India.</t>
  </si>
  <si>
    <t>Republic of Ireland</t>
  </si>
  <si>
    <t>Ireland</t>
  </si>
  <si>
    <t>Climate Bonds aligned Ireland sovereign issuance - Republic of Ireland.</t>
  </si>
  <si>
    <t>UK</t>
  </si>
  <si>
    <t>Climate Bonds aligned UK sovereign issuance - United Kingdom.</t>
  </si>
  <si>
    <t>Republic of France</t>
  </si>
  <si>
    <t>Climate Bonds aligned France sovereign issuance - Republic of France.</t>
  </si>
  <si>
    <t>Government of Fiji</t>
  </si>
  <si>
    <t>Fiji</t>
  </si>
  <si>
    <t>Climate Bonds aligned Fiji sovereign issuance - Government of Fiji.</t>
  </si>
  <si>
    <t>Republic of Fiji</t>
  </si>
  <si>
    <t>FJD</t>
  </si>
  <si>
    <t>Climate Bonds aligned Fiji sovereign issuance - Republic of Fiji.</t>
  </si>
  <si>
    <t>Kingdom of Spain</t>
  </si>
  <si>
    <t>Spain</t>
  </si>
  <si>
    <t>Climate Bonds aligned Spain sovereign issuance - Kingdom of Spain.</t>
  </si>
  <si>
    <t>Kingdom of Denmark</t>
  </si>
  <si>
    <t>DKK</t>
  </si>
  <si>
    <t>Denmark</t>
  </si>
  <si>
    <t>Climate Bonds aligned Denmark sovereign issuance - Kingdom of Denmark.</t>
  </si>
  <si>
    <t>Federal Republic of Germany</t>
  </si>
  <si>
    <t>Climate Bonds aligned Germany sovereign issuance - Federal Republic of Germany.</t>
  </si>
  <si>
    <t>Confederation of Switzerland</t>
  </si>
  <si>
    <t>Switzerland</t>
  </si>
  <si>
    <t>Climate Bonds aligned Switzerland sovereign issuance - Confederation of Switzerland.</t>
  </si>
  <si>
    <t>Government of Canada</t>
  </si>
  <si>
    <t>Climate Bonds aligned Canada sovereign issuance - Government of Canada.</t>
  </si>
  <si>
    <t>Kingdom of Belgium</t>
  </si>
  <si>
    <t>Climate Bonds aligned Belgium sovereign issuance - Kingdom of Belgium.</t>
  </si>
  <si>
    <t>Republic of Argentina</t>
  </si>
  <si>
    <t>ARS</t>
  </si>
  <si>
    <t>Climate Bonds aligned Argentina sovereign issuance - Republic of Argentina.</t>
  </si>
  <si>
    <t>Egypt Government International Bond</t>
  </si>
  <si>
    <t>Climate Bonds aligned Egypt sovereign issuance - Egypt Government International Bond.</t>
  </si>
  <si>
    <t>Government of Ghana</t>
  </si>
  <si>
    <t>Ghana</t>
  </si>
  <si>
    <t>Climate Bonds aligned Ghana sovereign issuance - Government of Ghana.</t>
  </si>
  <si>
    <t>GREEN BOND MARKET — ANNUAL ISSUANCE ANALYSIS (2018–2024)</t>
  </si>
  <si>
    <t>Source: Climate Bonds Initiative  |  UCL Sustainable Finance Portfolio  |  ShangyuZ</t>
  </si>
  <si>
    <t>SECTION 1 — TOTAL ISSUANCE BY YEAR (USD Billions)</t>
  </si>
  <si>
    <t>YoY Growth %</t>
  </si>
  <si>
    <t>SECTION 2 — ISSUANCE BY THEME (USD Billions)</t>
  </si>
  <si>
    <t>Total (USD bn)</t>
  </si>
  <si>
    <t>Deal Count</t>
  </si>
  <si>
    <t>Share %</t>
  </si>
  <si>
    <t>GEOGRAPHIC &amp; SECTOR BREAKDOWN</t>
  </si>
  <si>
    <t>Source: Climate Bonds Initiative  |  UCL Sustainable Finance Portfolio</t>
  </si>
  <si>
    <t>TOP 10 COUNTRIES BY ISSUANCE (USD bn)</t>
  </si>
  <si>
    <t>USD Billions</t>
  </si>
  <si>
    <t>TOP SECTORS BY ISSUANCE (USD bn)</t>
  </si>
  <si>
    <t>SUSTAINABILITY-LINKED BONDS (SLB) — MARKET ANALYSIS</t>
  </si>
  <si>
    <t>SLBs link coupon payments to sustainability KPI performance — directly relevant to SLL structuring (Project 2)</t>
  </si>
  <si>
    <t>SLB vs GREEN BOND ISSUANCE BY YEAR (USD bn)</t>
  </si>
  <si>
    <t>TOP SLB ISSUERS</t>
  </si>
  <si>
    <t>Green Bonds (bn)</t>
  </si>
  <si>
    <t>SLBs (bn)</t>
  </si>
  <si>
    <t>SLB Share %</t>
  </si>
  <si>
    <t>Issuer</t>
  </si>
  <si>
    <t>GREENIUM ANALYSIS FRAMEWORK — GREEN BOND YIELD PREMIUM STUDY</t>
  </si>
  <si>
    <t>This sheet is designed to be populated using Bloomberg/Refinitiv data available via UCL library access</t>
  </si>
  <si>
    <t>METHODOLOGY: To estimate the greenium, identify matched bond pairs — one green and one conventional bond from the same issuer, with similar maturity and seniority. The yield difference (conventional minus green) represents the greenium. A positive greenium means investors accept a lower yield for green bonds (they pay a premium to hold green assets).</t>
  </si>
  <si>
    <t>BOND PAIR COMPARISON TABLE — Enter data from Bloomberg terminal (blue cells)</t>
  </si>
  <si>
    <t>Pair #</t>
  </si>
  <si>
    <t>Bond Type</t>
  </si>
  <si>
    <t>ISIN</t>
  </si>
  <si>
    <t>Maturity Date</t>
  </si>
  <si>
    <t>Coupon %</t>
  </si>
  <si>
    <t>Yield to Maturity %</t>
  </si>
  <si>
    <t>Spread vs Swap (bps)</t>
  </si>
  <si>
    <t>INSERT ISSUER NAME</t>
  </si>
  <si>
    <t>Green Bond</t>
  </si>
  <si>
    <t>Enter ISIN</t>
  </si>
  <si>
    <t>Enter maturity</t>
  </si>
  <si>
    <t>Conventional Bond</t>
  </si>
  <si>
    <t>GREENIUM CALCULATION (Yield Conventional − Yield Green = Greenium in bps)</t>
  </si>
  <si>
    <t>Green Bond Yield %</t>
  </si>
  <si>
    <t>Conv. Bond Yield %</t>
  </si>
  <si>
    <t>Greenium (bps)</t>
  </si>
  <si>
    <t>Interpretation</t>
  </si>
  <si>
    <t>AVERAGE GREENIUM (bps):</t>
  </si>
  <si>
    <t>HOW TO POPULATE THIS SHEET:
1. Visit a UCL Bloomberg terminal — search for your chosen issuer (e.g. UK DMO, Barclays, National Grid)
2. Pull up their bond list and identify one green bond and one conventional bond with similar maturity (within 1-2 years)
3. Record the ISIN, coupon, yield to maturity, and asset swap spread for each bond
4. Enter the data in the blue cells above — the greenium will calculate automatically
5. Suggested issuers: UK Government (sovereign green gilt), Barclays, National Grid, Heathrow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</si>
</sst>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:mm:ss"/>
    <numFmt numFmtId="165" formatCode="#,##0.00&quot;bn&quot;"/>
    <numFmt numFmtId="166" formatCode="0.0%"/>
    <numFmt numFmtId="167" formatCode="0.0"/>
    <numFmt numFmtId="168" formatCode="0.0&quot; bps&quot;"/>
  </numFmts>
  <fonts count="2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color rgb="FF444444"/>
      <name val="Arial"/>
      <family val="2"/>
    </font>
    <font>
      <b/>
      <sz val="9"/>
      <color rgb="FFFFFFFF"/>
      <name val="Arial"/>
      <family val="2"/>
    </font>
    <font>
      <b/>
      <sz val="14"/>
      <color rgb="FF1B5E20"/>
      <name val="Arial"/>
      <family val="2"/>
    </font>
    <font>
      <i/>
      <sz val="8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2E7D32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9"/>
      <color rgb="FF0000FF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444444"/>
      <name val="Arial"/>
      <family val="2"/>
    </font>
    <font>
      <i/>
      <sz val="10"/>
      <color rgb="FF333333"/>
      <name val="Arial"/>
      <family val="2"/>
    </font>
    <font>
      <b/>
      <sz val="10"/>
      <name val="Arial"/>
      <family val="2"/>
    </font>
    <font>
      <b/>
      <sz val="11"/>
      <color rgb="FF2E7D32"/>
      <name val="Arial"/>
      <family val="2"/>
    </font>
    <font>
      <sz val="10"/>
      <color rgb="FF1B5E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8F5E9"/>
        <bgColor rgb="FFF1F8E9"/>
      </patternFill>
    </fill>
    <fill>
      <patternFill patternType="solid">
        <fgColor rgb="FF43A047"/>
        <bgColor rgb="FF2E7D32"/>
      </patternFill>
    </fill>
    <fill>
      <patternFill patternType="solid">
        <fgColor rgb="FFFFFFFF"/>
        <bgColor rgb="FFF9F9F9"/>
      </patternFill>
    </fill>
    <fill>
      <patternFill patternType="solid">
        <fgColor rgb="FF2E7D32"/>
        <bgColor rgb="FF1B5E20"/>
      </patternFill>
    </fill>
    <fill>
      <patternFill patternType="solid">
        <fgColor rgb="FFF5F5F5"/>
        <bgColor rgb="FFF9F9F9"/>
      </patternFill>
    </fill>
    <fill>
      <patternFill patternType="solid">
        <fgColor rgb="FFE0E0E0"/>
        <bgColor rgb="FFD9D9D9"/>
      </patternFill>
    </fill>
    <fill>
      <patternFill patternType="solid">
        <fgColor rgb="FFFFF9C4"/>
        <bgColor rgb="FFF1F8E9"/>
      </patternFill>
    </fill>
    <fill>
      <patternFill patternType="solid">
        <fgColor rgb="FFF1F8E9"/>
        <bgColor rgb="FFF5F5F5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4" fillId="10" borderId="0" xfId="0" applyFont="1" applyFill="1" applyAlignment="1">
      <alignment vertical="top" wrapText="1"/>
    </xf>
    <xf numFmtId="0" fontId="21" fillId="3" borderId="0" xfId="0" applyFont="1" applyFill="1" applyAlignment="1">
      <alignment vertical="top" wrapText="1"/>
    </xf>
    <xf numFmtId="0" fontId="20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1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 vertical="center"/>
    </xf>
    <xf numFmtId="0" fontId="12" fillId="7" borderId="0" xfId="0" applyFont="1" applyFill="1"/>
    <xf numFmtId="164" fontId="12" fillId="7" borderId="0" xfId="0" applyNumberFormat="1" applyFont="1" applyFill="1"/>
    <xf numFmtId="0" fontId="12" fillId="5" borderId="0" xfId="0" applyFont="1" applyFill="1"/>
    <xf numFmtId="164" fontId="12" fillId="5" borderId="0" xfId="0" applyNumberFormat="1" applyFont="1" applyFill="1"/>
    <xf numFmtId="0" fontId="14" fillId="4" borderId="1" xfId="0" applyFont="1" applyFill="1" applyBorder="1" applyAlignment="1">
      <alignment horizontal="center" vertical="center"/>
    </xf>
    <xf numFmtId="165" fontId="17" fillId="3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left"/>
    </xf>
    <xf numFmtId="4" fontId="19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66" fontId="18" fillId="3" borderId="1" xfId="0" applyNumberFormat="1" applyFont="1" applyFill="1" applyBorder="1" applyAlignment="1">
      <alignment horizontal="center"/>
    </xf>
    <xf numFmtId="0" fontId="18" fillId="5" borderId="1" xfId="0" applyFont="1" applyFill="1" applyBorder="1" applyAlignment="1">
      <alignment horizontal="left"/>
    </xf>
    <xf numFmtId="4" fontId="19" fillId="5" borderId="1" xfId="0" applyNumberFormat="1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166" fontId="18" fillId="5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left"/>
    </xf>
    <xf numFmtId="0" fontId="19" fillId="9" borderId="1" xfId="0" applyFont="1" applyFill="1" applyBorder="1" applyAlignment="1">
      <alignment horizontal="center"/>
    </xf>
    <xf numFmtId="167" fontId="18" fillId="5" borderId="1" xfId="0" applyNumberFormat="1" applyFont="1" applyFill="1" applyBorder="1" applyAlignment="1">
      <alignment horizontal="center"/>
    </xf>
    <xf numFmtId="167" fontId="18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22" fillId="3" borderId="1" xfId="0" applyFont="1" applyFill="1" applyBorder="1"/>
    <xf numFmtId="168" fontId="23" fillId="3" borderId="1" xfId="0" applyNumberFormat="1" applyFont="1" applyFill="1" applyBorder="1"/>
    <xf numFmtId="0" fontId="14" fillId="4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666666"/>
      <rgbColor rgb="FF800080"/>
      <rgbColor rgb="FF4F81BD"/>
      <rgbColor rgb="FFCCCCCC"/>
      <rgbColor rgb="FF878787"/>
      <rgbColor rgb="FF93A9CE"/>
      <rgbColor rgb="FFAB4744"/>
      <rgbColor rgb="FFFFF9C4"/>
      <rgbColor rgb="FFE8F5E9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E0E0E0"/>
      <rgbColor rgb="FFF5F5F5"/>
      <rgbColor rgb="FF99CCFF"/>
      <rgbColor rgb="FFFF99CC"/>
      <rgbColor rgb="FFCC99FF"/>
      <rgbColor rgb="FFF9F9F9"/>
      <rgbColor rgb="FF4A7EBB"/>
      <rgbColor rgb="FF4299B0"/>
      <rgbColor rgb="FF9BBB59"/>
      <rgbColor rgb="FFFFCC00"/>
      <rgbColor rgb="FFFF9900"/>
      <rgbColor rgb="FFFF6600"/>
      <rgbColor rgb="FF725990"/>
      <rgbColor rgb="FF8AA64F"/>
      <rgbColor rgb="FF003366"/>
      <rgbColor rgb="FF43A047"/>
      <rgbColor rgb="FF1B5E20"/>
      <rgbColor rgb="FF444444"/>
      <rgbColor rgb="FFC0504D"/>
      <rgbColor rgb="FFBE4B48"/>
      <rgbColor rgb="FF8064A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Annual Green Bond Issuance (USD Billions)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Issuance'!$A$5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'Annual Issuance'!$A$6</c:f>
              <c:numCache>
                <c:formatCode>#,##0.00"bn"</c:formatCode>
                <c:ptCount val="1"/>
                <c:pt idx="0">
                  <c:v>17.57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F-5349-B2B7-7AD845A5DBF1}"/>
            </c:ext>
          </c:extLst>
        </c:ser>
        <c:ser>
          <c:idx val="1"/>
          <c:order val="1"/>
          <c:tx>
            <c:strRef>
              <c:f>'Annual Issuance'!$B$5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'Annual Issuance'!$B$6</c:f>
              <c:numCache>
                <c:formatCode>#,##0.00"bn"</c:formatCode>
                <c:ptCount val="1"/>
                <c:pt idx="0">
                  <c:v>25.16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F-5349-B2B7-7AD845A5DBF1}"/>
            </c:ext>
          </c:extLst>
        </c:ser>
        <c:ser>
          <c:idx val="2"/>
          <c:order val="2"/>
          <c:tx>
            <c:strRef>
              <c:f>'Annual Issuance'!$C$5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'Annual Issuance'!$C$6</c:f>
              <c:numCache>
                <c:formatCode>#,##0.00"bn"</c:formatCode>
                <c:ptCount val="1"/>
                <c:pt idx="0">
                  <c:v>44.88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F-5349-B2B7-7AD845A5DBF1}"/>
            </c:ext>
          </c:extLst>
        </c:ser>
        <c:ser>
          <c:idx val="3"/>
          <c:order val="3"/>
          <c:tx>
            <c:strRef>
              <c:f>'Annual Issuance'!$D$5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'Annual Issuance'!$D$6</c:f>
              <c:numCache>
                <c:formatCode>#,##0.00"bn"</c:formatCode>
                <c:ptCount val="1"/>
                <c:pt idx="0">
                  <c:v>128.38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3F-5349-B2B7-7AD845A5DBF1}"/>
            </c:ext>
          </c:extLst>
        </c:ser>
        <c:ser>
          <c:idx val="4"/>
          <c:order val="4"/>
          <c:tx>
            <c:strRef>
              <c:f>'Annual Issuance'!$E$5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'Annual Issuance'!$E$6</c:f>
              <c:numCache>
                <c:formatCode>#,##0.00"bn"</c:formatCode>
                <c:ptCount val="1"/>
                <c:pt idx="0">
                  <c:v>140.35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3F-5349-B2B7-7AD845A5DBF1}"/>
            </c:ext>
          </c:extLst>
        </c:ser>
        <c:ser>
          <c:idx val="5"/>
          <c:order val="5"/>
          <c:tx>
            <c:strRef>
              <c:f>'Annual Issuance'!$F$5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'Annual Issuance'!$F$6</c:f>
              <c:numCache>
                <c:formatCode>#,##0.00"bn"</c:formatCode>
                <c:ptCount val="1"/>
                <c:pt idx="0">
                  <c:v>184.53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3F-5349-B2B7-7AD845A5DBF1}"/>
            </c:ext>
          </c:extLst>
        </c:ser>
        <c:ser>
          <c:idx val="6"/>
          <c:order val="6"/>
          <c:tx>
            <c:strRef>
              <c:f>'Annual Issuance'!$G$5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'Annual Issuance'!$G$6</c:f>
              <c:numCache>
                <c:formatCode>#,##0.00"bn"</c:formatCode>
                <c:ptCount val="1"/>
                <c:pt idx="0">
                  <c:v>97.28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3F-5349-B2B7-7AD845A5D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7794"/>
        <c:axId val="20228591"/>
      </c:barChart>
      <c:catAx>
        <c:axId val="1927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28591"/>
        <c:crosses val="autoZero"/>
        <c:auto val="1"/>
        <c:lblAlgn val="ctr"/>
        <c:lblOffset val="100"/>
        <c:noMultiLvlLbl val="0"/>
      </c:catAx>
      <c:valAx>
        <c:axId val="20228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Billions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bn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7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Issuance by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'Annual Issuance'!$B$29</c:f>
              <c:strCache>
                <c:ptCount val="1"/>
                <c:pt idx="0">
                  <c:v>Total (USD bn)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433-8A48-A334-2219F88299C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433-8A48-A334-2219F88299C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433-8A48-A334-2219F88299C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433-8A48-A334-2219F88299C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433-8A48-A334-2219F88299C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433-8A48-A334-2219F88299C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433-8A48-A334-2219F88299C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433-8A48-A334-2219F88299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'Annual Issuance'!$B$30:$B$33</c:f>
              <c:numCache>
                <c:formatCode>#,##0.00</c:formatCode>
                <c:ptCount val="4"/>
                <c:pt idx="0">
                  <c:v>527.72</c:v>
                </c:pt>
                <c:pt idx="1">
                  <c:v>72.489999999999995</c:v>
                </c:pt>
                <c:pt idx="2">
                  <c:v>27.62</c:v>
                </c:pt>
                <c:pt idx="3">
                  <c:v>22.21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33-8A48-A334-2219F8829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Top 10 Countries by Issuance (USD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&amp; Sector'!$B$5</c:f>
              <c:strCache>
                <c:ptCount val="1"/>
                <c:pt idx="0">
                  <c:v>USD Billions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&amp; Sector'!$A$6:$A$15</c:f>
              <c:strCache>
                <c:ptCount val="10"/>
                <c:pt idx="0">
                  <c:v>Germany</c:v>
                </c:pt>
                <c:pt idx="1">
                  <c:v>France</c:v>
                </c:pt>
                <c:pt idx="2">
                  <c:v>UK</c:v>
                </c:pt>
                <c:pt idx="3">
                  <c:v>Italy</c:v>
                </c:pt>
                <c:pt idx="4">
                  <c:v>Chile</c:v>
                </c:pt>
                <c:pt idx="5">
                  <c:v>China</c:v>
                </c:pt>
                <c:pt idx="6">
                  <c:v>Netherlands</c:v>
                </c:pt>
                <c:pt idx="7">
                  <c:v>China_HK</c:v>
                </c:pt>
                <c:pt idx="8">
                  <c:v>Austria</c:v>
                </c:pt>
                <c:pt idx="9">
                  <c:v>Belgium</c:v>
                </c:pt>
              </c:strCache>
            </c:strRef>
          </c:cat>
          <c:val>
            <c:numRef>
              <c:f>'Country &amp; Sector'!$B$6:$B$15</c:f>
              <c:numCache>
                <c:formatCode>#,##0.00</c:formatCode>
                <c:ptCount val="10"/>
                <c:pt idx="0">
                  <c:v>95.17</c:v>
                </c:pt>
                <c:pt idx="1">
                  <c:v>82.18</c:v>
                </c:pt>
                <c:pt idx="2">
                  <c:v>59.34</c:v>
                </c:pt>
                <c:pt idx="3">
                  <c:v>45.92</c:v>
                </c:pt>
                <c:pt idx="4">
                  <c:v>37.549999999999997</c:v>
                </c:pt>
                <c:pt idx="5">
                  <c:v>33.07</c:v>
                </c:pt>
                <c:pt idx="6">
                  <c:v>28.81</c:v>
                </c:pt>
                <c:pt idx="7">
                  <c:v>26.87</c:v>
                </c:pt>
                <c:pt idx="8">
                  <c:v>21.79</c:v>
                </c:pt>
                <c:pt idx="9">
                  <c:v>21.28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5-B04E-9C8A-8DC0CC0D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99466"/>
        <c:axId val="44959119"/>
      </c:barChart>
      <c:catAx>
        <c:axId val="851994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Billions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59119"/>
        <c:crosses val="autoZero"/>
        <c:auto val="1"/>
        <c:lblAlgn val="ctr"/>
        <c:lblOffset val="100"/>
        <c:noMultiLvlLbl val="0"/>
      </c:catAx>
      <c:valAx>
        <c:axId val="449591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994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Green Bonds vs SLBs — Annual Issuance (USD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'SLB Analysis'!$B$5</c:f>
              <c:strCache>
                <c:ptCount val="1"/>
                <c:pt idx="0">
                  <c:v>Green Bonds (bn)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'SLB Analysis'!$B$6:$B$12</c:f>
              <c:numCache>
                <c:formatCode>#,##0.00</c:formatCode>
                <c:ptCount val="7"/>
                <c:pt idx="0">
                  <c:v>17.57</c:v>
                </c:pt>
                <c:pt idx="1">
                  <c:v>24.66</c:v>
                </c:pt>
                <c:pt idx="2">
                  <c:v>37.92</c:v>
                </c:pt>
                <c:pt idx="3">
                  <c:v>92.21</c:v>
                </c:pt>
                <c:pt idx="4">
                  <c:v>118.19</c:v>
                </c:pt>
                <c:pt idx="5">
                  <c:v>148.72999999999999</c:v>
                </c:pt>
                <c:pt idx="6">
                  <c:v>76.87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F3-2040-ADD4-854D936AACF0}"/>
            </c:ext>
          </c:extLst>
        </c:ser>
        <c:ser>
          <c:idx val="1"/>
          <c:order val="1"/>
          <c:tx>
            <c:strRef>
              <c:f>'SLB Analysis'!$C$5</c:f>
              <c:strCache>
                <c:ptCount val="1"/>
                <c:pt idx="0">
                  <c:v>SLBs (bn)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'SLB Analysis'!$C$6:$C$12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3.36</c:v>
                </c:pt>
                <c:pt idx="4">
                  <c:v>1.69</c:v>
                </c:pt>
                <c:pt idx="5">
                  <c:v>5.31</c:v>
                </c:pt>
                <c:pt idx="6">
                  <c:v>11.52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F3-2040-ADD4-854D936AA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672296"/>
        <c:axId val="48169150"/>
      </c:lineChart>
      <c:catAx>
        <c:axId val="216722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69150"/>
        <c:crosses val="autoZero"/>
        <c:auto val="1"/>
        <c:lblAlgn val="ctr"/>
        <c:lblOffset val="100"/>
        <c:noMultiLvlLbl val="0"/>
      </c:catAx>
      <c:valAx>
        <c:axId val="48169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Billions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672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400680</xdr:colOff>
      <xdr:row>33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406400</xdr:colOff>
      <xdr:row>8</xdr:row>
      <xdr:rowOff>177800</xdr:rowOff>
    </xdr:from>
    <xdr:to>
      <xdr:col>16</xdr:col>
      <xdr:colOff>549600</xdr:colOff>
      <xdr:row>33</xdr:row>
      <xdr:rowOff>94940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15</xdr:col>
      <xdr:colOff>97920</xdr:colOff>
      <xdr:row>27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101400</xdr:colOff>
      <xdr:row>37</xdr:row>
      <xdr:rowOff>107640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25" zoomScaleNormal="100" workbookViewId="0">
      <selection activeCell="G25" sqref="G25"/>
    </sheetView>
  </sheetViews>
  <sheetFormatPr baseColWidth="10" defaultColWidth="8.6640625" defaultRowHeight="15" x14ac:dyDescent="0.2"/>
  <cols>
    <col min="1" max="1" width="22.1640625" customWidth="1"/>
    <col min="2" max="2" width="29.83203125" customWidth="1"/>
    <col min="3" max="10" width="14" customWidth="1"/>
  </cols>
  <sheetData>
    <row r="1" spans="1:10" ht="45" customHeight="1" x14ac:dyDescent="0.2">
      <c r="A1" s="44" t="s">
        <v>0</v>
      </c>
      <c r="B1" s="44"/>
      <c r="C1" s="44"/>
      <c r="D1" s="44"/>
      <c r="E1" s="44"/>
      <c r="F1" s="44"/>
      <c r="G1" s="47"/>
      <c r="H1" s="47"/>
      <c r="I1" s="47"/>
      <c r="J1" s="47"/>
    </row>
    <row r="2" spans="1:10" ht="26" customHeight="1" x14ac:dyDescent="0.2">
      <c r="A2" s="45" t="s">
        <v>1</v>
      </c>
      <c r="B2" s="45"/>
      <c r="C2" s="45"/>
      <c r="D2" s="45"/>
      <c r="E2" s="45"/>
      <c r="F2" s="45"/>
      <c r="G2" s="48"/>
      <c r="H2" s="48"/>
      <c r="I2" s="48"/>
      <c r="J2" s="48"/>
    </row>
    <row r="3" spans="1:10" x14ac:dyDescent="0.2">
      <c r="G3" s="49"/>
      <c r="H3" s="49"/>
      <c r="I3" s="49"/>
      <c r="J3" s="49"/>
    </row>
    <row r="4" spans="1:10" ht="26" customHeight="1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49"/>
      <c r="H4" s="49"/>
      <c r="I4" s="49"/>
      <c r="J4" s="49"/>
    </row>
    <row r="5" spans="1:10" ht="27.75" customHeight="1" x14ac:dyDescent="0.2">
      <c r="A5" s="8" t="s">
        <v>8</v>
      </c>
      <c r="B5" s="42">
        <v>732</v>
      </c>
      <c r="C5" s="8" t="s">
        <v>9</v>
      </c>
      <c r="D5" s="8" t="s">
        <v>10</v>
      </c>
      <c r="E5" s="8" t="s">
        <v>11</v>
      </c>
      <c r="F5" s="8" t="s">
        <v>12</v>
      </c>
      <c r="G5" s="49"/>
      <c r="H5" s="49"/>
      <c r="I5" s="49"/>
      <c r="J5" s="49"/>
    </row>
    <row r="6" spans="1:10" x14ac:dyDescent="0.2">
      <c r="A6" s="9" t="s">
        <v>13</v>
      </c>
      <c r="B6" s="9" t="s">
        <v>14</v>
      </c>
      <c r="C6" s="9" t="s">
        <v>15</v>
      </c>
      <c r="D6" s="9" t="s">
        <v>16</v>
      </c>
      <c r="E6" s="9" t="s">
        <v>17</v>
      </c>
      <c r="F6" s="9" t="s">
        <v>18</v>
      </c>
      <c r="G6" s="49"/>
      <c r="H6" s="49"/>
      <c r="I6" s="49"/>
      <c r="J6" s="49"/>
    </row>
    <row r="7" spans="1:10" x14ac:dyDescent="0.2">
      <c r="G7" s="49"/>
      <c r="H7" s="49"/>
      <c r="I7" s="49"/>
      <c r="J7" s="49"/>
    </row>
    <row r="8" spans="1:10" ht="31" customHeight="1" x14ac:dyDescent="0.2">
      <c r="A8" s="46" t="s">
        <v>19</v>
      </c>
      <c r="B8" s="46"/>
      <c r="C8" s="46"/>
      <c r="D8" s="46"/>
      <c r="E8" s="46"/>
      <c r="F8" s="46"/>
      <c r="G8" s="50"/>
      <c r="H8" s="50"/>
      <c r="I8" s="50"/>
      <c r="J8" s="50"/>
    </row>
    <row r="9" spans="1:10" ht="34" customHeight="1" x14ac:dyDescent="0.2">
      <c r="A9" s="11" t="s">
        <v>20</v>
      </c>
      <c r="B9" s="53" t="s">
        <v>21</v>
      </c>
      <c r="C9" s="55"/>
      <c r="D9" s="55"/>
      <c r="E9" s="55"/>
      <c r="F9" s="54"/>
      <c r="G9" s="51"/>
      <c r="H9" s="51"/>
      <c r="I9" s="51"/>
      <c r="J9" s="51"/>
    </row>
    <row r="10" spans="1:10" ht="33" customHeight="1" x14ac:dyDescent="0.2">
      <c r="A10" s="11" t="s">
        <v>22</v>
      </c>
      <c r="B10" s="56" t="s">
        <v>23</v>
      </c>
      <c r="C10" s="57"/>
      <c r="D10" s="57"/>
      <c r="E10" s="57"/>
      <c r="F10" s="58"/>
      <c r="G10" s="51"/>
      <c r="H10" s="51"/>
      <c r="I10" s="51"/>
      <c r="J10" s="51"/>
    </row>
    <row r="11" spans="1:10" ht="33" customHeight="1" x14ac:dyDescent="0.2">
      <c r="A11" s="11" t="s">
        <v>24</v>
      </c>
      <c r="B11" s="53" t="s">
        <v>25</v>
      </c>
      <c r="C11" s="55"/>
      <c r="D11" s="55"/>
      <c r="E11" s="55"/>
      <c r="F11" s="54"/>
      <c r="G11" s="51"/>
      <c r="H11" s="51"/>
      <c r="I11" s="51"/>
      <c r="J11" s="51"/>
    </row>
    <row r="12" spans="1:10" ht="34" customHeight="1" x14ac:dyDescent="0.2">
      <c r="A12" s="11" t="s">
        <v>26</v>
      </c>
      <c r="B12" s="59" t="s">
        <v>27</v>
      </c>
      <c r="C12" s="60"/>
      <c r="D12" s="60"/>
      <c r="E12" s="60"/>
      <c r="F12" s="61"/>
      <c r="G12" s="51"/>
      <c r="H12" s="51"/>
      <c r="I12" s="51"/>
      <c r="J12" s="51"/>
    </row>
    <row r="13" spans="1:10" ht="34" customHeight="1" x14ac:dyDescent="0.2">
      <c r="A13" s="11" t="s">
        <v>28</v>
      </c>
      <c r="B13" s="53" t="s">
        <v>29</v>
      </c>
      <c r="C13" s="55"/>
      <c r="D13" s="55"/>
      <c r="E13" s="55"/>
      <c r="F13" s="54"/>
      <c r="G13" s="51"/>
      <c r="H13" s="51"/>
      <c r="I13" s="51"/>
      <c r="J13" s="51"/>
    </row>
    <row r="14" spans="1:10" ht="34" customHeight="1" x14ac:dyDescent="0.2">
      <c r="A14" s="11" t="s">
        <v>30</v>
      </c>
      <c r="B14" s="59" t="s">
        <v>31</v>
      </c>
      <c r="C14" s="60"/>
      <c r="D14" s="60"/>
      <c r="E14" s="60"/>
      <c r="F14" s="61"/>
      <c r="G14" s="51"/>
      <c r="H14" s="51"/>
      <c r="I14" s="51"/>
      <c r="J14" s="51"/>
    </row>
    <row r="15" spans="1:10" x14ac:dyDescent="0.2">
      <c r="G15" s="49"/>
      <c r="H15" s="49"/>
      <c r="I15" s="49"/>
      <c r="J15" s="49"/>
    </row>
    <row r="16" spans="1:10" x14ac:dyDescent="0.2">
      <c r="G16" s="49"/>
      <c r="H16" s="49"/>
      <c r="I16" s="49"/>
      <c r="J16" s="49"/>
    </row>
    <row r="17" spans="1:10" x14ac:dyDescent="0.2">
      <c r="A17" s="43" t="s">
        <v>32</v>
      </c>
      <c r="B17" s="43"/>
      <c r="C17" s="43"/>
      <c r="D17" s="43"/>
      <c r="E17" s="43"/>
      <c r="F17" s="43"/>
      <c r="G17" s="52"/>
      <c r="H17" s="52"/>
      <c r="I17" s="52"/>
      <c r="J17" s="52"/>
    </row>
    <row r="18" spans="1:10" x14ac:dyDescent="0.2">
      <c r="A18" s="12" t="s">
        <v>33</v>
      </c>
      <c r="B18" s="62" t="s">
        <v>34</v>
      </c>
      <c r="C18" s="62"/>
      <c r="D18" s="62"/>
      <c r="E18" s="62"/>
      <c r="F18" s="62"/>
      <c r="G18" s="49"/>
      <c r="H18" s="49"/>
      <c r="I18" s="49"/>
      <c r="J18" s="49"/>
    </row>
    <row r="19" spans="1:10" x14ac:dyDescent="0.2">
      <c r="A19" s="13" t="s">
        <v>35</v>
      </c>
      <c r="B19" s="62" t="s">
        <v>36</v>
      </c>
      <c r="C19" s="62"/>
      <c r="D19" s="62"/>
      <c r="E19" s="62"/>
      <c r="F19" s="62"/>
      <c r="G19" s="49"/>
      <c r="H19" s="49"/>
      <c r="I19" s="49"/>
      <c r="J19" s="49"/>
    </row>
    <row r="20" spans="1:10" x14ac:dyDescent="0.2">
      <c r="A20" s="24" t="s">
        <v>37</v>
      </c>
      <c r="B20" s="63" t="s">
        <v>38</v>
      </c>
      <c r="C20" s="62"/>
      <c r="D20" s="62"/>
      <c r="E20" s="62"/>
      <c r="F20" s="62"/>
      <c r="G20" s="49"/>
      <c r="H20" s="49"/>
      <c r="I20" s="49"/>
      <c r="J20" s="49"/>
    </row>
    <row r="21" spans="1:10" x14ac:dyDescent="0.2">
      <c r="A21" s="34" t="s">
        <v>39</v>
      </c>
      <c r="B21" s="63" t="s">
        <v>40</v>
      </c>
      <c r="C21" s="62"/>
      <c r="D21" s="62"/>
      <c r="E21" s="62"/>
      <c r="F21" s="62"/>
      <c r="G21" s="49"/>
      <c r="H21" s="49"/>
      <c r="I21" s="49"/>
      <c r="J21" s="49"/>
    </row>
  </sheetData>
  <mergeCells count="10">
    <mergeCell ref="B21:F21"/>
    <mergeCell ref="B9:F9"/>
    <mergeCell ref="B10:F10"/>
    <mergeCell ref="B11:F11"/>
    <mergeCell ref="B12:F12"/>
    <mergeCell ref="B13:F13"/>
    <mergeCell ref="B14:F14"/>
    <mergeCell ref="B18:F18"/>
    <mergeCell ref="B19:F19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3"/>
  <sheetViews>
    <sheetView zoomScaleNormal="100" workbookViewId="0">
      <pane ySplit="1" topLeftCell="A94" activePane="bottomLeft" state="frozen"/>
      <selection pane="bottomLeft" activeCell="H46" sqref="H46"/>
    </sheetView>
  </sheetViews>
  <sheetFormatPr baseColWidth="10" defaultColWidth="8.6640625" defaultRowHeight="15" x14ac:dyDescent="0.2"/>
  <cols>
    <col min="1" max="1" width="25" customWidth="1"/>
    <col min="2" max="2" width="14" customWidth="1"/>
    <col min="3" max="3" width="12" customWidth="1"/>
    <col min="4" max="4" width="16" customWidth="1"/>
    <col min="5" max="5" width="10" customWidth="1"/>
    <col min="6" max="6" width="14" customWidth="1"/>
    <col min="7" max="7" width="12" customWidth="1"/>
    <col min="8" max="8" width="18" customWidth="1"/>
    <col min="9" max="9" width="20" customWidth="1"/>
  </cols>
  <sheetData>
    <row r="1" spans="1:11" x14ac:dyDescent="0.2">
      <c r="A1" s="14" t="s">
        <v>41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  <c r="K1" s="14" t="s">
        <v>51</v>
      </c>
    </row>
    <row r="2" spans="1:11" x14ac:dyDescent="0.2">
      <c r="A2" s="15" t="s">
        <v>52</v>
      </c>
      <c r="B2" s="15" t="s">
        <v>53</v>
      </c>
      <c r="C2" s="16">
        <v>45615</v>
      </c>
      <c r="D2" s="15">
        <v>650000000</v>
      </c>
      <c r="E2" s="15" t="s">
        <v>54</v>
      </c>
      <c r="F2" s="15">
        <v>690160250</v>
      </c>
      <c r="G2" s="15" t="s">
        <v>55</v>
      </c>
      <c r="H2" s="15" t="s">
        <v>56</v>
      </c>
      <c r="I2" s="15" t="s">
        <v>57</v>
      </c>
      <c r="J2" s="15">
        <v>2024</v>
      </c>
      <c r="K2" s="15">
        <v>0.69016025000000003</v>
      </c>
    </row>
    <row r="3" spans="1:11" x14ac:dyDescent="0.2">
      <c r="A3" s="17" t="s">
        <v>52</v>
      </c>
      <c r="B3" s="17" t="s">
        <v>53</v>
      </c>
      <c r="C3" s="18">
        <v>45615</v>
      </c>
      <c r="D3" s="17">
        <v>1100000000</v>
      </c>
      <c r="E3" s="17" t="s">
        <v>54</v>
      </c>
      <c r="F3" s="17">
        <v>1168367200</v>
      </c>
      <c r="G3" s="17" t="s">
        <v>55</v>
      </c>
      <c r="H3" s="17" t="s">
        <v>56</v>
      </c>
      <c r="I3" s="17" t="s">
        <v>57</v>
      </c>
      <c r="J3" s="17">
        <v>2024</v>
      </c>
      <c r="K3" s="17">
        <v>1.1683672000000001</v>
      </c>
    </row>
    <row r="4" spans="1:11" x14ac:dyDescent="0.2">
      <c r="A4" s="15" t="s">
        <v>52</v>
      </c>
      <c r="B4" s="15" t="s">
        <v>53</v>
      </c>
      <c r="C4" s="16">
        <v>45615</v>
      </c>
      <c r="D4" s="15">
        <v>1000000000</v>
      </c>
      <c r="E4" s="15" t="s">
        <v>54</v>
      </c>
      <c r="F4" s="15">
        <v>1062468000</v>
      </c>
      <c r="G4" s="15" t="s">
        <v>55</v>
      </c>
      <c r="H4" s="15" t="s">
        <v>56</v>
      </c>
      <c r="I4" s="15" t="s">
        <v>57</v>
      </c>
      <c r="J4" s="15">
        <v>2024</v>
      </c>
      <c r="K4" s="15">
        <v>1.062468</v>
      </c>
    </row>
    <row r="5" spans="1:11" x14ac:dyDescent="0.2">
      <c r="A5" s="17" t="s">
        <v>58</v>
      </c>
      <c r="B5" s="17" t="s">
        <v>53</v>
      </c>
      <c r="C5" s="18">
        <v>45594</v>
      </c>
      <c r="D5" s="17">
        <v>300000000</v>
      </c>
      <c r="E5" s="17" t="s">
        <v>59</v>
      </c>
      <c r="F5" s="17">
        <v>300000000</v>
      </c>
      <c r="G5" s="17" t="s">
        <v>60</v>
      </c>
      <c r="H5" s="17" t="s">
        <v>61</v>
      </c>
      <c r="I5" s="17" t="s">
        <v>62</v>
      </c>
      <c r="J5" s="17">
        <v>2024</v>
      </c>
      <c r="K5" s="17">
        <v>0.3</v>
      </c>
    </row>
    <row r="6" spans="1:11" x14ac:dyDescent="0.2">
      <c r="A6" s="15" t="s">
        <v>63</v>
      </c>
      <c r="B6" s="15" t="s">
        <v>53</v>
      </c>
      <c r="C6" s="16">
        <v>45560</v>
      </c>
      <c r="D6" s="15">
        <v>20000000</v>
      </c>
      <c r="E6" s="15" t="s">
        <v>59</v>
      </c>
      <c r="F6" s="15">
        <v>20000000</v>
      </c>
      <c r="G6" s="15" t="s">
        <v>64</v>
      </c>
      <c r="H6" s="15" t="s">
        <v>65</v>
      </c>
      <c r="I6" s="15" t="s">
        <v>66</v>
      </c>
      <c r="J6" s="15">
        <v>2024</v>
      </c>
      <c r="K6" s="15">
        <v>0.02</v>
      </c>
    </row>
    <row r="7" spans="1:11" x14ac:dyDescent="0.2">
      <c r="A7" s="17" t="s">
        <v>58</v>
      </c>
      <c r="B7" s="17" t="s">
        <v>53</v>
      </c>
      <c r="C7" s="18">
        <v>45531</v>
      </c>
      <c r="D7" s="17">
        <v>400000000</v>
      </c>
      <c r="E7" s="17" t="s">
        <v>59</v>
      </c>
      <c r="F7" s="17">
        <v>400000000</v>
      </c>
      <c r="G7" s="17" t="s">
        <v>60</v>
      </c>
      <c r="H7" s="17" t="s">
        <v>61</v>
      </c>
      <c r="I7" s="17" t="s">
        <v>62</v>
      </c>
      <c r="J7" s="17">
        <v>2024</v>
      </c>
      <c r="K7" s="17">
        <v>0.4</v>
      </c>
    </row>
    <row r="8" spans="1:11" x14ac:dyDescent="0.2">
      <c r="A8" s="15" t="s">
        <v>52</v>
      </c>
      <c r="B8" s="15" t="s">
        <v>53</v>
      </c>
      <c r="C8" s="16">
        <v>45518</v>
      </c>
      <c r="D8" s="15">
        <v>500000000</v>
      </c>
      <c r="E8" s="15" t="s">
        <v>54</v>
      </c>
      <c r="F8" s="15">
        <v>546568500</v>
      </c>
      <c r="G8" s="15" t="s">
        <v>55</v>
      </c>
      <c r="H8" s="15" t="s">
        <v>56</v>
      </c>
      <c r="I8" s="15" t="s">
        <v>57</v>
      </c>
      <c r="J8" s="15">
        <v>2024</v>
      </c>
      <c r="K8" s="15">
        <v>0.54656850000000001</v>
      </c>
    </row>
    <row r="9" spans="1:11" x14ac:dyDescent="0.2">
      <c r="A9" s="17" t="s">
        <v>67</v>
      </c>
      <c r="B9" s="17" t="s">
        <v>68</v>
      </c>
      <c r="C9" s="18">
        <v>45469</v>
      </c>
      <c r="D9" s="17">
        <v>300000000</v>
      </c>
      <c r="E9" s="17" t="s">
        <v>59</v>
      </c>
      <c r="F9" s="17">
        <v>300000000</v>
      </c>
      <c r="G9" s="17" t="s">
        <v>60</v>
      </c>
      <c r="H9" s="17" t="s">
        <v>69</v>
      </c>
      <c r="I9" s="17" t="s">
        <v>70</v>
      </c>
      <c r="J9" s="17">
        <v>2024</v>
      </c>
      <c r="K9" s="17">
        <v>0.3</v>
      </c>
    </row>
    <row r="10" spans="1:11" x14ac:dyDescent="0.2">
      <c r="A10" s="15" t="s">
        <v>71</v>
      </c>
      <c r="B10" s="15" t="s">
        <v>68</v>
      </c>
      <c r="C10" s="16">
        <v>45469</v>
      </c>
      <c r="D10" s="15">
        <v>500000000</v>
      </c>
      <c r="E10" s="15" t="s">
        <v>59</v>
      </c>
      <c r="F10" s="15">
        <v>500000000</v>
      </c>
      <c r="G10" s="15" t="s">
        <v>60</v>
      </c>
      <c r="H10" s="15" t="s">
        <v>69</v>
      </c>
      <c r="I10" s="15" t="s">
        <v>72</v>
      </c>
      <c r="J10" s="15">
        <v>2024</v>
      </c>
      <c r="K10" s="15">
        <v>0.5</v>
      </c>
    </row>
    <row r="11" spans="1:11" x14ac:dyDescent="0.2">
      <c r="A11" s="17" t="s">
        <v>52</v>
      </c>
      <c r="B11" s="17" t="s">
        <v>53</v>
      </c>
      <c r="C11" s="18">
        <v>45453</v>
      </c>
      <c r="D11" s="17">
        <v>750000000</v>
      </c>
      <c r="E11" s="17" t="s">
        <v>54</v>
      </c>
      <c r="F11" s="17">
        <v>813599250</v>
      </c>
      <c r="G11" s="17" t="s">
        <v>55</v>
      </c>
      <c r="H11" s="17" t="s">
        <v>56</v>
      </c>
      <c r="I11" s="17" t="s">
        <v>57</v>
      </c>
      <c r="J11" s="17">
        <v>2024</v>
      </c>
      <c r="K11" s="17">
        <v>0.81359925</v>
      </c>
    </row>
    <row r="12" spans="1:11" x14ac:dyDescent="0.2">
      <c r="A12" s="15" t="s">
        <v>52</v>
      </c>
      <c r="B12" s="15" t="s">
        <v>53</v>
      </c>
      <c r="C12" s="16">
        <v>45453</v>
      </c>
      <c r="D12" s="15">
        <v>700000000</v>
      </c>
      <c r="E12" s="15" t="s">
        <v>54</v>
      </c>
      <c r="F12" s="15">
        <v>759276700</v>
      </c>
      <c r="G12" s="15" t="s">
        <v>55</v>
      </c>
      <c r="H12" s="15" t="s">
        <v>56</v>
      </c>
      <c r="I12" s="15" t="s">
        <v>57</v>
      </c>
      <c r="J12" s="15">
        <v>2024</v>
      </c>
      <c r="K12" s="15">
        <v>0.75927670000000003</v>
      </c>
    </row>
    <row r="13" spans="1:11" x14ac:dyDescent="0.2">
      <c r="A13" s="17" t="s">
        <v>52</v>
      </c>
      <c r="B13" s="17" t="s">
        <v>53</v>
      </c>
      <c r="C13" s="18">
        <v>45453</v>
      </c>
      <c r="D13" s="17">
        <v>750000000</v>
      </c>
      <c r="E13" s="17" t="s">
        <v>54</v>
      </c>
      <c r="F13" s="17">
        <v>813580500</v>
      </c>
      <c r="G13" s="17" t="s">
        <v>55</v>
      </c>
      <c r="H13" s="17" t="s">
        <v>56</v>
      </c>
      <c r="I13" s="17" t="s">
        <v>57</v>
      </c>
      <c r="J13" s="17">
        <v>2024</v>
      </c>
      <c r="K13" s="17">
        <v>0.81358050000000004</v>
      </c>
    </row>
    <row r="14" spans="1:11" x14ac:dyDescent="0.2">
      <c r="A14" s="15" t="s">
        <v>52</v>
      </c>
      <c r="B14" s="15" t="s">
        <v>53</v>
      </c>
      <c r="C14" s="16">
        <v>45427</v>
      </c>
      <c r="D14" s="15">
        <v>800000000</v>
      </c>
      <c r="E14" s="15" t="s">
        <v>73</v>
      </c>
      <c r="F14" s="15">
        <v>74400000</v>
      </c>
      <c r="G14" s="15" t="s">
        <v>55</v>
      </c>
      <c r="H14" s="15" t="s">
        <v>74</v>
      </c>
      <c r="I14" s="15" t="s">
        <v>57</v>
      </c>
      <c r="J14" s="15">
        <v>2024</v>
      </c>
      <c r="K14" s="15">
        <v>7.4399999999999994E-2</v>
      </c>
    </row>
    <row r="15" spans="1:11" x14ac:dyDescent="0.2">
      <c r="A15" s="17" t="s">
        <v>63</v>
      </c>
      <c r="B15" s="17" t="s">
        <v>53</v>
      </c>
      <c r="C15" s="18">
        <v>45426</v>
      </c>
      <c r="D15" s="17">
        <v>750000000</v>
      </c>
      <c r="E15" s="17" t="s">
        <v>54</v>
      </c>
      <c r="F15" s="17">
        <v>808046250</v>
      </c>
      <c r="G15" s="17" t="s">
        <v>64</v>
      </c>
      <c r="H15" s="17" t="s">
        <v>61</v>
      </c>
      <c r="I15" s="17" t="s">
        <v>66</v>
      </c>
      <c r="J15" s="17">
        <v>2024</v>
      </c>
      <c r="K15" s="17">
        <v>0.80804624999999997</v>
      </c>
    </row>
    <row r="16" spans="1:11" x14ac:dyDescent="0.2">
      <c r="A16" s="15" t="s">
        <v>52</v>
      </c>
      <c r="B16" s="15" t="s">
        <v>53</v>
      </c>
      <c r="C16" s="16">
        <v>45379</v>
      </c>
      <c r="D16" s="15">
        <v>500000000</v>
      </c>
      <c r="E16" s="15" t="s">
        <v>54</v>
      </c>
      <c r="F16" s="15">
        <v>539636500</v>
      </c>
      <c r="G16" s="15" t="s">
        <v>55</v>
      </c>
      <c r="H16" s="15" t="s">
        <v>56</v>
      </c>
      <c r="I16" s="15" t="s">
        <v>57</v>
      </c>
      <c r="J16" s="15">
        <v>2024</v>
      </c>
      <c r="K16" s="15">
        <v>0.53963649999999996</v>
      </c>
    </row>
    <row r="17" spans="1:11" x14ac:dyDescent="0.2">
      <c r="A17" s="17" t="s">
        <v>75</v>
      </c>
      <c r="B17" s="17" t="s">
        <v>53</v>
      </c>
      <c r="C17" s="18">
        <v>45370</v>
      </c>
      <c r="D17" s="17">
        <v>500000000</v>
      </c>
      <c r="E17" s="17" t="s">
        <v>54</v>
      </c>
      <c r="F17" s="17">
        <v>546478000</v>
      </c>
      <c r="G17" s="17" t="s">
        <v>76</v>
      </c>
      <c r="H17" s="17" t="s">
        <v>77</v>
      </c>
      <c r="I17" s="17" t="s">
        <v>78</v>
      </c>
      <c r="J17" s="17">
        <v>2024</v>
      </c>
      <c r="K17" s="17">
        <v>0.54647800000000002</v>
      </c>
    </row>
    <row r="18" spans="1:11" x14ac:dyDescent="0.2">
      <c r="A18" s="15" t="s">
        <v>63</v>
      </c>
      <c r="B18" s="15" t="s">
        <v>53</v>
      </c>
      <c r="C18" s="16">
        <v>45373</v>
      </c>
      <c r="D18" s="15">
        <v>30000000</v>
      </c>
      <c r="E18" s="15" t="s">
        <v>79</v>
      </c>
      <c r="F18" s="15">
        <v>19547730</v>
      </c>
      <c r="G18" s="15" t="s">
        <v>64</v>
      </c>
      <c r="H18" s="15" t="s">
        <v>65</v>
      </c>
      <c r="I18" s="15" t="s">
        <v>66</v>
      </c>
      <c r="J18" s="15">
        <v>2024</v>
      </c>
      <c r="K18" s="15">
        <v>1.9547729999999999E-2</v>
      </c>
    </row>
    <row r="19" spans="1:11" x14ac:dyDescent="0.2">
      <c r="A19" s="17" t="s">
        <v>63</v>
      </c>
      <c r="B19" s="17" t="s">
        <v>53</v>
      </c>
      <c r="C19" s="18">
        <v>45379</v>
      </c>
      <c r="D19" s="17">
        <v>20000000</v>
      </c>
      <c r="E19" s="17" t="s">
        <v>54</v>
      </c>
      <c r="F19" s="17">
        <v>21585460</v>
      </c>
      <c r="G19" s="17" t="s">
        <v>64</v>
      </c>
      <c r="H19" s="17" t="s">
        <v>65</v>
      </c>
      <c r="I19" s="17" t="s">
        <v>66</v>
      </c>
      <c r="J19" s="17">
        <v>2024</v>
      </c>
      <c r="K19" s="17">
        <v>2.1585460000000001E-2</v>
      </c>
    </row>
    <row r="20" spans="1:11" x14ac:dyDescent="0.2">
      <c r="A20" s="15" t="s">
        <v>63</v>
      </c>
      <c r="B20" s="15" t="s">
        <v>53</v>
      </c>
      <c r="C20" s="16">
        <v>45384</v>
      </c>
      <c r="D20" s="15">
        <v>20000000</v>
      </c>
      <c r="E20" s="15" t="s">
        <v>79</v>
      </c>
      <c r="F20" s="15">
        <v>13028200</v>
      </c>
      <c r="G20" s="15" t="s">
        <v>64</v>
      </c>
      <c r="H20" s="15" t="s">
        <v>65</v>
      </c>
      <c r="I20" s="15" t="s">
        <v>66</v>
      </c>
      <c r="J20" s="15">
        <v>2024</v>
      </c>
      <c r="K20" s="15">
        <v>1.30282E-2</v>
      </c>
    </row>
    <row r="21" spans="1:11" x14ac:dyDescent="0.2">
      <c r="A21" s="17" t="s">
        <v>63</v>
      </c>
      <c r="B21" s="17" t="s">
        <v>53</v>
      </c>
      <c r="C21" s="18">
        <v>45408</v>
      </c>
      <c r="D21" s="17">
        <v>10000000</v>
      </c>
      <c r="E21" s="17" t="s">
        <v>59</v>
      </c>
      <c r="F21" s="17">
        <v>10000000</v>
      </c>
      <c r="G21" s="17" t="s">
        <v>64</v>
      </c>
      <c r="H21" s="17" t="s">
        <v>65</v>
      </c>
      <c r="I21" s="17" t="s">
        <v>66</v>
      </c>
      <c r="J21" s="17">
        <v>2024</v>
      </c>
      <c r="K21" s="17">
        <v>0.01</v>
      </c>
    </row>
    <row r="22" spans="1:11" x14ac:dyDescent="0.2">
      <c r="A22" s="15" t="s">
        <v>52</v>
      </c>
      <c r="B22" s="15" t="s">
        <v>53</v>
      </c>
      <c r="C22" s="16">
        <v>45320</v>
      </c>
      <c r="D22" s="15">
        <v>350000000</v>
      </c>
      <c r="E22" s="15" t="s">
        <v>80</v>
      </c>
      <c r="F22" s="15">
        <v>33506200</v>
      </c>
      <c r="G22" s="15" t="s">
        <v>76</v>
      </c>
      <c r="H22" s="15" t="s">
        <v>74</v>
      </c>
      <c r="I22" s="15" t="s">
        <v>57</v>
      </c>
      <c r="J22" s="15">
        <v>2024</v>
      </c>
      <c r="K22" s="15">
        <v>3.35062E-2</v>
      </c>
    </row>
    <row r="23" spans="1:11" x14ac:dyDescent="0.2">
      <c r="A23" s="17" t="s">
        <v>63</v>
      </c>
      <c r="B23" s="17" t="s">
        <v>53</v>
      </c>
      <c r="C23" s="18">
        <v>45352</v>
      </c>
      <c r="D23" s="17">
        <v>10000000</v>
      </c>
      <c r="E23" s="17" t="s">
        <v>54</v>
      </c>
      <c r="F23" s="17">
        <v>10853400</v>
      </c>
      <c r="G23" s="17" t="s">
        <v>64</v>
      </c>
      <c r="H23" s="17" t="s">
        <v>65</v>
      </c>
      <c r="I23" s="17" t="s">
        <v>66</v>
      </c>
      <c r="J23" s="17">
        <v>2024</v>
      </c>
      <c r="K23" s="17">
        <v>1.0853399999999999E-2</v>
      </c>
    </row>
    <row r="24" spans="1:11" x14ac:dyDescent="0.2">
      <c r="A24" s="15" t="s">
        <v>63</v>
      </c>
      <c r="B24" s="15" t="s">
        <v>53</v>
      </c>
      <c r="C24" s="16">
        <v>45371</v>
      </c>
      <c r="D24" s="15">
        <v>140000000</v>
      </c>
      <c r="E24" s="15" t="s">
        <v>81</v>
      </c>
      <c r="F24" s="15">
        <v>17895780</v>
      </c>
      <c r="G24" s="15" t="s">
        <v>64</v>
      </c>
      <c r="H24" s="15" t="s">
        <v>65</v>
      </c>
      <c r="I24" s="15" t="s">
        <v>66</v>
      </c>
      <c r="J24" s="15">
        <v>2024</v>
      </c>
      <c r="K24" s="15">
        <v>1.789578E-2</v>
      </c>
    </row>
    <row r="25" spans="1:11" x14ac:dyDescent="0.2">
      <c r="A25" s="17" t="s">
        <v>82</v>
      </c>
      <c r="B25" s="17" t="s">
        <v>53</v>
      </c>
      <c r="C25" s="18">
        <v>45302</v>
      </c>
      <c r="D25" s="17">
        <v>750000000</v>
      </c>
      <c r="E25" s="17" t="s">
        <v>54</v>
      </c>
      <c r="F25" s="17">
        <v>818331750</v>
      </c>
      <c r="G25" s="17" t="s">
        <v>55</v>
      </c>
      <c r="H25" s="17" t="s">
        <v>83</v>
      </c>
      <c r="I25" s="17" t="s">
        <v>84</v>
      </c>
      <c r="J25" s="17">
        <v>2024</v>
      </c>
      <c r="K25" s="17">
        <v>0.81833175000000002</v>
      </c>
    </row>
    <row r="26" spans="1:11" x14ac:dyDescent="0.2">
      <c r="A26" s="15" t="s">
        <v>82</v>
      </c>
      <c r="B26" s="15" t="s">
        <v>53</v>
      </c>
      <c r="C26" s="16">
        <v>45302</v>
      </c>
      <c r="D26" s="15">
        <v>1150000000</v>
      </c>
      <c r="E26" s="15" t="s">
        <v>54</v>
      </c>
      <c r="F26" s="15">
        <v>1254916800</v>
      </c>
      <c r="G26" s="15" t="s">
        <v>55</v>
      </c>
      <c r="H26" s="15" t="s">
        <v>83</v>
      </c>
      <c r="I26" s="15" t="s">
        <v>84</v>
      </c>
      <c r="J26" s="15">
        <v>2024</v>
      </c>
      <c r="K26" s="15">
        <v>1.2549167999999999</v>
      </c>
    </row>
    <row r="27" spans="1:11" x14ac:dyDescent="0.2">
      <c r="A27" s="17" t="s">
        <v>82</v>
      </c>
      <c r="B27" s="17" t="s">
        <v>53</v>
      </c>
      <c r="C27" s="18">
        <v>45302</v>
      </c>
      <c r="D27" s="17">
        <v>850000000</v>
      </c>
      <c r="E27" s="17" t="s">
        <v>54</v>
      </c>
      <c r="F27" s="17">
        <v>927719750</v>
      </c>
      <c r="G27" s="17" t="s">
        <v>55</v>
      </c>
      <c r="H27" s="17" t="s">
        <v>83</v>
      </c>
      <c r="I27" s="17" t="s">
        <v>84</v>
      </c>
      <c r="J27" s="17">
        <v>2024</v>
      </c>
      <c r="K27" s="17">
        <v>0.92771974999999995</v>
      </c>
    </row>
    <row r="28" spans="1:11" x14ac:dyDescent="0.2">
      <c r="A28" s="15" t="s">
        <v>52</v>
      </c>
      <c r="B28" s="15" t="s">
        <v>53</v>
      </c>
      <c r="C28" s="16">
        <v>45275</v>
      </c>
      <c r="D28" s="15">
        <v>1000000000</v>
      </c>
      <c r="E28" s="15" t="s">
        <v>73</v>
      </c>
      <c r="F28" s="15">
        <v>91198000</v>
      </c>
      <c r="G28" s="15" t="s">
        <v>76</v>
      </c>
      <c r="H28" s="15" t="s">
        <v>74</v>
      </c>
      <c r="I28" s="15" t="s">
        <v>57</v>
      </c>
      <c r="J28" s="15">
        <v>2023</v>
      </c>
      <c r="K28" s="15">
        <v>9.1198000000000001E-2</v>
      </c>
    </row>
    <row r="29" spans="1:11" x14ac:dyDescent="0.2">
      <c r="A29" s="17" t="s">
        <v>52</v>
      </c>
      <c r="B29" s="17" t="s">
        <v>53</v>
      </c>
      <c r="C29" s="18">
        <v>45268</v>
      </c>
      <c r="D29" s="17">
        <v>300000000</v>
      </c>
      <c r="E29" s="17" t="s">
        <v>80</v>
      </c>
      <c r="F29" s="17">
        <v>28661700</v>
      </c>
      <c r="G29" s="17" t="s">
        <v>76</v>
      </c>
      <c r="H29" s="17" t="s">
        <v>74</v>
      </c>
      <c r="I29" s="17" t="s">
        <v>57</v>
      </c>
      <c r="J29" s="17">
        <v>2023</v>
      </c>
      <c r="K29" s="17">
        <v>2.8661699999999998E-2</v>
      </c>
    </row>
    <row r="30" spans="1:11" x14ac:dyDescent="0.2">
      <c r="A30" s="15" t="s">
        <v>52</v>
      </c>
      <c r="B30" s="15" t="s">
        <v>53</v>
      </c>
      <c r="C30" s="16">
        <v>45268</v>
      </c>
      <c r="D30" s="15">
        <v>550000000</v>
      </c>
      <c r="E30" s="15" t="s">
        <v>80</v>
      </c>
      <c r="F30" s="15">
        <v>52546450</v>
      </c>
      <c r="G30" s="15" t="s">
        <v>76</v>
      </c>
      <c r="H30" s="15" t="s">
        <v>74</v>
      </c>
      <c r="I30" s="15" t="s">
        <v>57</v>
      </c>
      <c r="J30" s="15">
        <v>2023</v>
      </c>
      <c r="K30" s="15">
        <v>5.2546450000000001E-2</v>
      </c>
    </row>
    <row r="31" spans="1:11" x14ac:dyDescent="0.2">
      <c r="A31" s="17" t="s">
        <v>52</v>
      </c>
      <c r="B31" s="17" t="s">
        <v>53</v>
      </c>
      <c r="C31" s="18">
        <v>45268</v>
      </c>
      <c r="D31" s="17">
        <v>650000000</v>
      </c>
      <c r="E31" s="17" t="s">
        <v>80</v>
      </c>
      <c r="F31" s="17">
        <v>62100350</v>
      </c>
      <c r="G31" s="17" t="s">
        <v>76</v>
      </c>
      <c r="H31" s="17" t="s">
        <v>74</v>
      </c>
      <c r="I31" s="17" t="s">
        <v>57</v>
      </c>
      <c r="J31" s="17">
        <v>2023</v>
      </c>
      <c r="K31" s="17">
        <v>6.2100349999999999E-2</v>
      </c>
    </row>
    <row r="32" spans="1:11" x14ac:dyDescent="0.2">
      <c r="A32" s="15" t="s">
        <v>85</v>
      </c>
      <c r="B32" s="15" t="s">
        <v>53</v>
      </c>
      <c r="C32" s="16">
        <v>45252</v>
      </c>
      <c r="D32" s="15">
        <v>300000000</v>
      </c>
      <c r="E32" s="15" t="s">
        <v>59</v>
      </c>
      <c r="F32" s="15">
        <v>300000000</v>
      </c>
      <c r="G32" s="15" t="s">
        <v>60</v>
      </c>
      <c r="H32" s="15" t="s">
        <v>61</v>
      </c>
      <c r="I32" s="15" t="s">
        <v>86</v>
      </c>
      <c r="J32" s="15">
        <v>2023</v>
      </c>
      <c r="K32" s="15">
        <v>0.3</v>
      </c>
    </row>
    <row r="33" spans="1:11" x14ac:dyDescent="0.2">
      <c r="A33" s="17" t="s">
        <v>85</v>
      </c>
      <c r="B33" s="17" t="s">
        <v>53</v>
      </c>
      <c r="C33" s="18">
        <v>45252</v>
      </c>
      <c r="D33" s="17">
        <v>300000000</v>
      </c>
      <c r="E33" s="17" t="s">
        <v>59</v>
      </c>
      <c r="F33" s="17">
        <v>300000000</v>
      </c>
      <c r="G33" s="17" t="s">
        <v>60</v>
      </c>
      <c r="H33" s="17" t="s">
        <v>61</v>
      </c>
      <c r="I33" s="17" t="s">
        <v>86</v>
      </c>
      <c r="J33" s="17">
        <v>2023</v>
      </c>
      <c r="K33" s="17">
        <v>0.3</v>
      </c>
    </row>
    <row r="34" spans="1:11" x14ac:dyDescent="0.2">
      <c r="A34" s="15" t="s">
        <v>63</v>
      </c>
      <c r="B34" s="15" t="s">
        <v>53</v>
      </c>
      <c r="C34" s="16">
        <v>45330</v>
      </c>
      <c r="D34" s="15">
        <v>10000000</v>
      </c>
      <c r="E34" s="15" t="s">
        <v>54</v>
      </c>
      <c r="F34" s="15">
        <v>10776730</v>
      </c>
      <c r="G34" s="15" t="s">
        <v>64</v>
      </c>
      <c r="H34" s="15" t="s">
        <v>65</v>
      </c>
      <c r="I34" s="15" t="s">
        <v>66</v>
      </c>
      <c r="J34" s="15">
        <v>2024</v>
      </c>
      <c r="K34" s="15">
        <v>1.077673E-2</v>
      </c>
    </row>
    <row r="35" spans="1:11" x14ac:dyDescent="0.2">
      <c r="A35" s="17" t="s">
        <v>58</v>
      </c>
      <c r="B35" s="17" t="s">
        <v>53</v>
      </c>
      <c r="C35" s="18">
        <v>45218</v>
      </c>
      <c r="D35" s="17">
        <v>300000000</v>
      </c>
      <c r="E35" s="17" t="s">
        <v>54</v>
      </c>
      <c r="F35" s="17">
        <v>317145000</v>
      </c>
      <c r="G35" s="17" t="s">
        <v>60</v>
      </c>
      <c r="H35" s="17" t="s">
        <v>61</v>
      </c>
      <c r="I35" s="17" t="s">
        <v>62</v>
      </c>
      <c r="J35" s="17">
        <v>2023</v>
      </c>
      <c r="K35" s="17">
        <v>0.31714500000000001</v>
      </c>
    </row>
    <row r="36" spans="1:11" x14ac:dyDescent="0.2">
      <c r="A36" s="15" t="s">
        <v>82</v>
      </c>
      <c r="B36" s="15" t="s">
        <v>53</v>
      </c>
      <c r="C36" s="16">
        <v>45194</v>
      </c>
      <c r="D36" s="15">
        <v>700000000</v>
      </c>
      <c r="E36" s="15" t="s">
        <v>54</v>
      </c>
      <c r="F36" s="15">
        <v>747959100</v>
      </c>
      <c r="G36" s="15" t="s">
        <v>55</v>
      </c>
      <c r="H36" s="15" t="s">
        <v>83</v>
      </c>
      <c r="I36" s="15" t="s">
        <v>84</v>
      </c>
      <c r="J36" s="15">
        <v>2023</v>
      </c>
      <c r="K36" s="15">
        <v>0.74795909999999999</v>
      </c>
    </row>
    <row r="37" spans="1:11" x14ac:dyDescent="0.2">
      <c r="A37" s="17" t="s">
        <v>82</v>
      </c>
      <c r="B37" s="17" t="s">
        <v>53</v>
      </c>
      <c r="C37" s="18">
        <v>45194</v>
      </c>
      <c r="D37" s="17">
        <v>500000000</v>
      </c>
      <c r="E37" s="17" t="s">
        <v>54</v>
      </c>
      <c r="F37" s="17">
        <v>534236500</v>
      </c>
      <c r="G37" s="17" t="s">
        <v>55</v>
      </c>
      <c r="H37" s="17" t="s">
        <v>83</v>
      </c>
      <c r="I37" s="17" t="s">
        <v>84</v>
      </c>
      <c r="J37" s="17">
        <v>2023</v>
      </c>
      <c r="K37" s="17">
        <v>0.5342365</v>
      </c>
    </row>
    <row r="38" spans="1:11" x14ac:dyDescent="0.2">
      <c r="A38" s="15" t="s">
        <v>82</v>
      </c>
      <c r="B38" s="15" t="s">
        <v>53</v>
      </c>
      <c r="C38" s="16">
        <v>45194</v>
      </c>
      <c r="D38" s="15">
        <v>800000000</v>
      </c>
      <c r="E38" s="15" t="s">
        <v>54</v>
      </c>
      <c r="F38" s="15">
        <v>854189600</v>
      </c>
      <c r="G38" s="15" t="s">
        <v>55</v>
      </c>
      <c r="H38" s="15" t="s">
        <v>83</v>
      </c>
      <c r="I38" s="15" t="s">
        <v>84</v>
      </c>
      <c r="J38" s="15">
        <v>2023</v>
      </c>
      <c r="K38" s="15">
        <v>0.85418959999999999</v>
      </c>
    </row>
    <row r="39" spans="1:11" x14ac:dyDescent="0.2">
      <c r="A39" s="17" t="s">
        <v>58</v>
      </c>
      <c r="B39" s="17" t="s">
        <v>53</v>
      </c>
      <c r="C39" s="18">
        <v>45187</v>
      </c>
      <c r="D39" s="17">
        <v>500000000</v>
      </c>
      <c r="E39" s="17" t="s">
        <v>59</v>
      </c>
      <c r="F39" s="17">
        <v>500000000</v>
      </c>
      <c r="G39" s="17" t="s">
        <v>60</v>
      </c>
      <c r="H39" s="17" t="s">
        <v>61</v>
      </c>
      <c r="I39" s="17" t="s">
        <v>62</v>
      </c>
      <c r="J39" s="17">
        <v>2023</v>
      </c>
      <c r="K39" s="17">
        <v>0.5</v>
      </c>
    </row>
    <row r="40" spans="1:11" x14ac:dyDescent="0.2">
      <c r="A40" s="15" t="s">
        <v>52</v>
      </c>
      <c r="B40" s="15" t="s">
        <v>53</v>
      </c>
      <c r="C40" s="16">
        <v>45175</v>
      </c>
      <c r="D40" s="15">
        <v>750000000</v>
      </c>
      <c r="E40" s="15" t="s">
        <v>54</v>
      </c>
      <c r="F40" s="15">
        <v>809371500</v>
      </c>
      <c r="G40" s="15" t="s">
        <v>55</v>
      </c>
      <c r="H40" s="15" t="s">
        <v>56</v>
      </c>
      <c r="I40" s="15" t="s">
        <v>57</v>
      </c>
      <c r="J40" s="15">
        <v>2023</v>
      </c>
      <c r="K40" s="15">
        <v>0.80937150000000002</v>
      </c>
    </row>
    <row r="41" spans="1:11" x14ac:dyDescent="0.2">
      <c r="A41" s="17" t="s">
        <v>52</v>
      </c>
      <c r="B41" s="17" t="s">
        <v>53</v>
      </c>
      <c r="C41" s="18">
        <v>45175</v>
      </c>
      <c r="D41" s="17">
        <v>1000000000</v>
      </c>
      <c r="E41" s="17" t="s">
        <v>54</v>
      </c>
      <c r="F41" s="17">
        <v>1079313000</v>
      </c>
      <c r="G41" s="17" t="s">
        <v>55</v>
      </c>
      <c r="H41" s="17" t="s">
        <v>56</v>
      </c>
      <c r="I41" s="17" t="s">
        <v>57</v>
      </c>
      <c r="J41" s="17">
        <v>2023</v>
      </c>
      <c r="K41" s="17">
        <v>1.079313</v>
      </c>
    </row>
    <row r="42" spans="1:11" x14ac:dyDescent="0.2">
      <c r="A42" s="15" t="s">
        <v>58</v>
      </c>
      <c r="B42" s="15" t="s">
        <v>53</v>
      </c>
      <c r="C42" s="16">
        <v>45183</v>
      </c>
      <c r="D42" s="15">
        <v>600000000</v>
      </c>
      <c r="E42" s="15" t="s">
        <v>59</v>
      </c>
      <c r="F42" s="15">
        <v>600000000</v>
      </c>
      <c r="G42" s="15" t="s">
        <v>60</v>
      </c>
      <c r="H42" s="15" t="s">
        <v>61</v>
      </c>
      <c r="I42" s="15" t="s">
        <v>62</v>
      </c>
      <c r="J42" s="15">
        <v>2023</v>
      </c>
      <c r="K42" s="15">
        <v>0.6</v>
      </c>
    </row>
    <row r="43" spans="1:11" x14ac:dyDescent="0.2">
      <c r="A43" s="17" t="s">
        <v>87</v>
      </c>
      <c r="B43" s="17" t="s">
        <v>53</v>
      </c>
      <c r="C43" s="18">
        <v>45089</v>
      </c>
      <c r="D43" s="17">
        <v>1000000000</v>
      </c>
      <c r="E43" s="17" t="s">
        <v>54</v>
      </c>
      <c r="F43" s="17">
        <v>1067828000</v>
      </c>
      <c r="G43" s="17" t="s">
        <v>64</v>
      </c>
      <c r="H43" s="17" t="s">
        <v>61</v>
      </c>
      <c r="I43" s="17" t="s">
        <v>88</v>
      </c>
      <c r="J43" s="17">
        <v>2023</v>
      </c>
      <c r="K43" s="17">
        <v>1.067828</v>
      </c>
    </row>
    <row r="44" spans="1:11" x14ac:dyDescent="0.2">
      <c r="A44" s="15" t="s">
        <v>58</v>
      </c>
      <c r="B44" s="15" t="s">
        <v>53</v>
      </c>
      <c r="C44" s="16">
        <v>45103</v>
      </c>
      <c r="D44" s="15">
        <v>500000000</v>
      </c>
      <c r="E44" s="15" t="s">
        <v>89</v>
      </c>
      <c r="F44" s="15">
        <v>69083500</v>
      </c>
      <c r="G44" s="15" t="s">
        <v>60</v>
      </c>
      <c r="H44" s="15" t="s">
        <v>61</v>
      </c>
      <c r="I44" s="15" t="s">
        <v>62</v>
      </c>
      <c r="J44" s="15">
        <v>2023</v>
      </c>
      <c r="K44" s="15">
        <v>6.9083500000000006E-2</v>
      </c>
    </row>
    <row r="45" spans="1:11" x14ac:dyDescent="0.2">
      <c r="A45" s="17" t="s">
        <v>52</v>
      </c>
      <c r="B45" s="17" t="s">
        <v>53</v>
      </c>
      <c r="C45" s="18">
        <v>45014</v>
      </c>
      <c r="D45" s="17">
        <v>750000000</v>
      </c>
      <c r="E45" s="17" t="s">
        <v>54</v>
      </c>
      <c r="F45" s="17">
        <v>807546000</v>
      </c>
      <c r="G45" s="17" t="s">
        <v>55</v>
      </c>
      <c r="H45" s="17" t="s">
        <v>56</v>
      </c>
      <c r="I45" s="17" t="s">
        <v>57</v>
      </c>
      <c r="J45" s="17">
        <v>2023</v>
      </c>
      <c r="K45" s="17">
        <v>0.80754599999999999</v>
      </c>
    </row>
    <row r="46" spans="1:11" x14ac:dyDescent="0.2">
      <c r="A46" s="15" t="s">
        <v>52</v>
      </c>
      <c r="B46" s="15" t="s">
        <v>53</v>
      </c>
      <c r="C46" s="16">
        <v>45012</v>
      </c>
      <c r="D46" s="15">
        <v>1000000000</v>
      </c>
      <c r="E46" s="15" t="s">
        <v>54</v>
      </c>
      <c r="F46" s="15">
        <v>1076612000</v>
      </c>
      <c r="G46" s="15" t="s">
        <v>55</v>
      </c>
      <c r="H46" s="15" t="s">
        <v>56</v>
      </c>
      <c r="I46" s="15" t="s">
        <v>57</v>
      </c>
      <c r="J46" s="15">
        <v>2023</v>
      </c>
      <c r="K46" s="15">
        <v>1.0766119999999999</v>
      </c>
    </row>
    <row r="47" spans="1:11" x14ac:dyDescent="0.2">
      <c r="A47" s="17" t="s">
        <v>75</v>
      </c>
      <c r="B47" s="17" t="s">
        <v>53</v>
      </c>
      <c r="C47" s="18">
        <v>44999</v>
      </c>
      <c r="D47" s="17">
        <v>1250000000</v>
      </c>
      <c r="E47" s="17" t="s">
        <v>54</v>
      </c>
      <c r="F47" s="17">
        <v>1331586250</v>
      </c>
      <c r="G47" s="17" t="s">
        <v>76</v>
      </c>
      <c r="H47" s="17" t="s">
        <v>77</v>
      </c>
      <c r="I47" s="17" t="s">
        <v>78</v>
      </c>
      <c r="J47" s="17">
        <v>2023</v>
      </c>
      <c r="K47" s="17">
        <v>1.33158625</v>
      </c>
    </row>
    <row r="48" spans="1:11" x14ac:dyDescent="0.2">
      <c r="A48" s="15" t="s">
        <v>58</v>
      </c>
      <c r="B48" s="15" t="s">
        <v>53</v>
      </c>
      <c r="C48" s="16">
        <v>44888</v>
      </c>
      <c r="D48" s="15">
        <v>400000000</v>
      </c>
      <c r="E48" s="15" t="s">
        <v>59</v>
      </c>
      <c r="F48" s="15">
        <v>400000000</v>
      </c>
      <c r="G48" s="15" t="s">
        <v>60</v>
      </c>
      <c r="H48" s="15" t="s">
        <v>61</v>
      </c>
      <c r="I48" s="15" t="s">
        <v>62</v>
      </c>
      <c r="J48" s="15">
        <v>2022</v>
      </c>
      <c r="K48" s="15">
        <v>0.4</v>
      </c>
    </row>
    <row r="49" spans="1:11" x14ac:dyDescent="0.2">
      <c r="A49" s="17" t="s">
        <v>52</v>
      </c>
      <c r="B49" s="17" t="s">
        <v>53</v>
      </c>
      <c r="C49" s="18">
        <v>44880</v>
      </c>
      <c r="D49" s="17">
        <v>750000000</v>
      </c>
      <c r="E49" s="17" t="s">
        <v>54</v>
      </c>
      <c r="F49" s="17">
        <v>773100000</v>
      </c>
      <c r="G49" s="17" t="s">
        <v>55</v>
      </c>
      <c r="H49" s="17" t="s">
        <v>56</v>
      </c>
      <c r="I49" s="17" t="s">
        <v>57</v>
      </c>
      <c r="J49" s="17">
        <v>2022</v>
      </c>
      <c r="K49" s="17">
        <v>0.77310000000000001</v>
      </c>
    </row>
    <row r="50" spans="1:11" x14ac:dyDescent="0.2">
      <c r="A50" s="15" t="s">
        <v>52</v>
      </c>
      <c r="B50" s="15" t="s">
        <v>53</v>
      </c>
      <c r="C50" s="16">
        <v>44880</v>
      </c>
      <c r="D50" s="15">
        <v>750000000</v>
      </c>
      <c r="E50" s="15" t="s">
        <v>54</v>
      </c>
      <c r="F50" s="15">
        <v>773100000</v>
      </c>
      <c r="G50" s="15" t="s">
        <v>55</v>
      </c>
      <c r="H50" s="15" t="s">
        <v>56</v>
      </c>
      <c r="I50" s="15" t="s">
        <v>57</v>
      </c>
      <c r="J50" s="15">
        <v>2022</v>
      </c>
      <c r="K50" s="15">
        <v>0.77310000000000001</v>
      </c>
    </row>
    <row r="51" spans="1:11" x14ac:dyDescent="0.2">
      <c r="A51" s="17" t="s">
        <v>52</v>
      </c>
      <c r="B51" s="17" t="s">
        <v>53</v>
      </c>
      <c r="C51" s="18">
        <v>44880</v>
      </c>
      <c r="D51" s="17">
        <v>1000000000</v>
      </c>
      <c r="E51" s="17" t="s">
        <v>54</v>
      </c>
      <c r="F51" s="17">
        <v>1030800000</v>
      </c>
      <c r="G51" s="17" t="s">
        <v>55</v>
      </c>
      <c r="H51" s="17" t="s">
        <v>56</v>
      </c>
      <c r="I51" s="17" t="s">
        <v>57</v>
      </c>
      <c r="J51" s="17">
        <v>2022</v>
      </c>
      <c r="K51" s="17">
        <v>1.0307999999999999</v>
      </c>
    </row>
    <row r="52" spans="1:11" x14ac:dyDescent="0.2">
      <c r="A52" s="15" t="s">
        <v>63</v>
      </c>
      <c r="B52" s="15" t="s">
        <v>53</v>
      </c>
      <c r="C52" s="16">
        <v>44826</v>
      </c>
      <c r="D52" s="15">
        <v>1000000000</v>
      </c>
      <c r="E52" s="15" t="s">
        <v>54</v>
      </c>
      <c r="F52" s="15">
        <v>984010000</v>
      </c>
      <c r="G52" s="15" t="s">
        <v>64</v>
      </c>
      <c r="H52" s="15" t="s">
        <v>61</v>
      </c>
      <c r="I52" s="15" t="s">
        <v>66</v>
      </c>
      <c r="J52" s="15">
        <v>2022</v>
      </c>
      <c r="K52" s="15">
        <v>0.98401000000000005</v>
      </c>
    </row>
    <row r="53" spans="1:11" x14ac:dyDescent="0.2">
      <c r="A53" s="17" t="s">
        <v>90</v>
      </c>
      <c r="B53" s="17" t="s">
        <v>68</v>
      </c>
      <c r="C53" s="18">
        <v>44627</v>
      </c>
      <c r="D53" s="17">
        <v>400000000</v>
      </c>
      <c r="E53" s="17" t="s">
        <v>59</v>
      </c>
      <c r="F53" s="17">
        <v>400000000</v>
      </c>
      <c r="G53" s="17" t="s">
        <v>60</v>
      </c>
      <c r="H53" s="17"/>
      <c r="I53" s="17" t="s">
        <v>91</v>
      </c>
      <c r="J53" s="17">
        <v>2022</v>
      </c>
      <c r="K53" s="17">
        <v>0.4</v>
      </c>
    </row>
    <row r="54" spans="1:11" x14ac:dyDescent="0.2">
      <c r="A54" s="15" t="s">
        <v>85</v>
      </c>
      <c r="B54" s="15" t="s">
        <v>53</v>
      </c>
      <c r="C54" s="16">
        <v>44621</v>
      </c>
      <c r="D54" s="15">
        <v>600000000</v>
      </c>
      <c r="E54" s="15" t="s">
        <v>59</v>
      </c>
      <c r="F54" s="15">
        <v>600000000</v>
      </c>
      <c r="G54" s="15" t="s">
        <v>60</v>
      </c>
      <c r="H54" s="15" t="s">
        <v>61</v>
      </c>
      <c r="I54" s="15" t="s">
        <v>86</v>
      </c>
      <c r="J54" s="15">
        <v>2022</v>
      </c>
      <c r="K54" s="15">
        <v>0.6</v>
      </c>
    </row>
    <row r="55" spans="1:11" x14ac:dyDescent="0.2">
      <c r="A55" s="17" t="s">
        <v>85</v>
      </c>
      <c r="B55" s="17" t="s">
        <v>53</v>
      </c>
      <c r="C55" s="18">
        <v>44621</v>
      </c>
      <c r="D55" s="17">
        <v>600000000</v>
      </c>
      <c r="E55" s="17" t="s">
        <v>59</v>
      </c>
      <c r="F55" s="17">
        <v>600000000</v>
      </c>
      <c r="G55" s="17" t="s">
        <v>60</v>
      </c>
      <c r="H55" s="17" t="s">
        <v>61</v>
      </c>
      <c r="I55" s="17" t="s">
        <v>86</v>
      </c>
      <c r="J55" s="17">
        <v>2022</v>
      </c>
      <c r="K55" s="17">
        <v>0.6</v>
      </c>
    </row>
    <row r="56" spans="1:11" x14ac:dyDescent="0.2">
      <c r="A56" s="15" t="s">
        <v>63</v>
      </c>
      <c r="B56" s="15" t="s">
        <v>53</v>
      </c>
      <c r="C56" s="16">
        <v>45392</v>
      </c>
      <c r="D56" s="15">
        <v>25000000</v>
      </c>
      <c r="E56" s="15" t="s">
        <v>54</v>
      </c>
      <c r="F56" s="15">
        <v>26853275</v>
      </c>
      <c r="G56" s="15" t="s">
        <v>64</v>
      </c>
      <c r="H56" s="15" t="s">
        <v>61</v>
      </c>
      <c r="I56" s="15" t="s">
        <v>66</v>
      </c>
      <c r="J56" s="15">
        <v>2024</v>
      </c>
      <c r="K56" s="15">
        <v>2.6853274999999999E-2</v>
      </c>
    </row>
    <row r="57" spans="1:11" x14ac:dyDescent="0.2">
      <c r="A57" s="17" t="s">
        <v>92</v>
      </c>
      <c r="B57" s="17" t="s">
        <v>53</v>
      </c>
      <c r="C57" s="18">
        <v>44775</v>
      </c>
      <c r="D57" s="17">
        <v>1250000000</v>
      </c>
      <c r="E57" s="17" t="s">
        <v>59</v>
      </c>
      <c r="F57" s="17">
        <v>1250000000</v>
      </c>
      <c r="G57" s="17" t="s">
        <v>64</v>
      </c>
      <c r="H57" s="17" t="s">
        <v>93</v>
      </c>
      <c r="I57" s="17" t="s">
        <v>94</v>
      </c>
      <c r="J57" s="17">
        <v>2022</v>
      </c>
      <c r="K57" s="17">
        <v>1.25</v>
      </c>
    </row>
    <row r="58" spans="1:11" x14ac:dyDescent="0.2">
      <c r="A58" s="15" t="s">
        <v>92</v>
      </c>
      <c r="B58" s="15" t="s">
        <v>53</v>
      </c>
      <c r="C58" s="16">
        <v>44775</v>
      </c>
      <c r="D58" s="15">
        <v>1000000000</v>
      </c>
      <c r="E58" s="15" t="s">
        <v>59</v>
      </c>
      <c r="F58" s="15">
        <v>1000000000</v>
      </c>
      <c r="G58" s="15" t="s">
        <v>64</v>
      </c>
      <c r="H58" s="15" t="s">
        <v>93</v>
      </c>
      <c r="I58" s="15" t="s">
        <v>94</v>
      </c>
      <c r="J58" s="15">
        <v>2022</v>
      </c>
      <c r="K58" s="15">
        <v>1</v>
      </c>
    </row>
    <row r="59" spans="1:11" x14ac:dyDescent="0.2">
      <c r="A59" s="17" t="s">
        <v>95</v>
      </c>
      <c r="B59" s="17" t="s">
        <v>68</v>
      </c>
      <c r="C59" s="18">
        <v>44875</v>
      </c>
      <c r="D59" s="17">
        <v>2000000000</v>
      </c>
      <c r="E59" s="17" t="s">
        <v>59</v>
      </c>
      <c r="F59" s="17">
        <v>2000000000</v>
      </c>
      <c r="G59" s="17" t="s">
        <v>64</v>
      </c>
      <c r="H59" s="17" t="s">
        <v>96</v>
      </c>
      <c r="I59" s="17" t="s">
        <v>97</v>
      </c>
      <c r="J59" s="17">
        <v>2022</v>
      </c>
      <c r="K59" s="17">
        <v>2</v>
      </c>
    </row>
    <row r="60" spans="1:11" x14ac:dyDescent="0.2">
      <c r="A60" s="15" t="s">
        <v>98</v>
      </c>
      <c r="B60" s="15" t="s">
        <v>68</v>
      </c>
      <c r="C60" s="16">
        <v>45469</v>
      </c>
      <c r="D60" s="15">
        <v>1000000000</v>
      </c>
      <c r="E60" s="15" t="s">
        <v>89</v>
      </c>
      <c r="F60" s="15">
        <v>137658000</v>
      </c>
      <c r="G60" s="15" t="s">
        <v>60</v>
      </c>
      <c r="H60" s="15" t="s">
        <v>69</v>
      </c>
      <c r="I60" s="15" t="s">
        <v>99</v>
      </c>
      <c r="J60" s="15">
        <v>2024</v>
      </c>
      <c r="K60" s="15">
        <v>0.137658</v>
      </c>
    </row>
    <row r="61" spans="1:11" x14ac:dyDescent="0.2">
      <c r="A61" s="17" t="s">
        <v>58</v>
      </c>
      <c r="B61" s="17" t="s">
        <v>53</v>
      </c>
      <c r="C61" s="18">
        <v>45217</v>
      </c>
      <c r="D61" s="17">
        <v>1600000000</v>
      </c>
      <c r="E61" s="17" t="s">
        <v>89</v>
      </c>
      <c r="F61" s="17">
        <v>219097600</v>
      </c>
      <c r="G61" s="17" t="s">
        <v>60</v>
      </c>
      <c r="H61" s="17" t="s">
        <v>61</v>
      </c>
      <c r="I61" s="17" t="s">
        <v>62</v>
      </c>
      <c r="J61" s="17">
        <v>2023</v>
      </c>
      <c r="K61" s="17">
        <v>0.2190976</v>
      </c>
    </row>
    <row r="62" spans="1:11" x14ac:dyDescent="0.2">
      <c r="A62" s="15" t="s">
        <v>100</v>
      </c>
      <c r="B62" s="15" t="s">
        <v>68</v>
      </c>
      <c r="C62" s="16">
        <v>45012</v>
      </c>
      <c r="D62" s="15">
        <v>1000000000</v>
      </c>
      <c r="E62" s="15" t="s">
        <v>89</v>
      </c>
      <c r="F62" s="15">
        <v>145580000</v>
      </c>
      <c r="G62" s="15" t="s">
        <v>60</v>
      </c>
      <c r="H62" s="15" t="s">
        <v>69</v>
      </c>
      <c r="I62" s="15" t="s">
        <v>101</v>
      </c>
      <c r="J62" s="15">
        <v>2023</v>
      </c>
      <c r="K62" s="15">
        <v>0.14557999999999999</v>
      </c>
    </row>
    <row r="63" spans="1:11" x14ac:dyDescent="0.2">
      <c r="A63" s="17" t="s">
        <v>102</v>
      </c>
      <c r="B63" s="17" t="s">
        <v>53</v>
      </c>
      <c r="C63" s="18">
        <v>45076</v>
      </c>
      <c r="D63" s="17">
        <v>1000000000</v>
      </c>
      <c r="E63" s="17" t="s">
        <v>54</v>
      </c>
      <c r="F63" s="17">
        <v>1082767000</v>
      </c>
      <c r="G63" s="17" t="s">
        <v>55</v>
      </c>
      <c r="H63" s="17" t="s">
        <v>93</v>
      </c>
      <c r="I63" s="17" t="s">
        <v>103</v>
      </c>
      <c r="J63" s="17">
        <v>2023</v>
      </c>
      <c r="K63" s="17">
        <v>1.082767</v>
      </c>
    </row>
    <row r="64" spans="1:11" x14ac:dyDescent="0.2">
      <c r="A64" s="15" t="s">
        <v>102</v>
      </c>
      <c r="B64" s="15" t="s">
        <v>53</v>
      </c>
      <c r="C64" s="16">
        <v>45076</v>
      </c>
      <c r="D64" s="15">
        <v>1000000000</v>
      </c>
      <c r="E64" s="15" t="s">
        <v>54</v>
      </c>
      <c r="F64" s="15">
        <v>1082717000</v>
      </c>
      <c r="G64" s="15" t="s">
        <v>55</v>
      </c>
      <c r="H64" s="15" t="s">
        <v>93</v>
      </c>
      <c r="I64" s="15" t="s">
        <v>103</v>
      </c>
      <c r="J64" s="15">
        <v>2023</v>
      </c>
      <c r="K64" s="15">
        <v>1.0827169999999999</v>
      </c>
    </row>
    <row r="65" spans="1:11" x14ac:dyDescent="0.2">
      <c r="A65" s="17" t="s">
        <v>58</v>
      </c>
      <c r="B65" s="17" t="s">
        <v>53</v>
      </c>
      <c r="C65" s="18">
        <v>45643</v>
      </c>
      <c r="D65" s="17">
        <v>10000000000</v>
      </c>
      <c r="E65" s="17" t="s">
        <v>89</v>
      </c>
      <c r="F65" s="17">
        <v>1372570000</v>
      </c>
      <c r="G65" s="17" t="s">
        <v>60</v>
      </c>
      <c r="H65" s="17" t="s">
        <v>61</v>
      </c>
      <c r="I65" s="17" t="s">
        <v>62</v>
      </c>
      <c r="J65" s="17">
        <v>2024</v>
      </c>
      <c r="K65" s="17">
        <v>1.3725700000000001</v>
      </c>
    </row>
    <row r="66" spans="1:11" x14ac:dyDescent="0.2">
      <c r="A66" s="15" t="s">
        <v>102</v>
      </c>
      <c r="B66" s="15" t="s">
        <v>53</v>
      </c>
      <c r="C66" s="16">
        <v>45089</v>
      </c>
      <c r="D66" s="15">
        <v>1000000000</v>
      </c>
      <c r="E66" s="15" t="s">
        <v>89</v>
      </c>
      <c r="F66" s="15">
        <v>139946000</v>
      </c>
      <c r="G66" s="15" t="s">
        <v>60</v>
      </c>
      <c r="H66" s="15" t="s">
        <v>93</v>
      </c>
      <c r="I66" s="15" t="s">
        <v>103</v>
      </c>
      <c r="J66" s="15">
        <v>2023</v>
      </c>
      <c r="K66" s="15">
        <v>0.13994599999999999</v>
      </c>
    </row>
    <row r="67" spans="1:11" x14ac:dyDescent="0.2">
      <c r="A67" s="17" t="s">
        <v>58</v>
      </c>
      <c r="B67" s="17" t="s">
        <v>53</v>
      </c>
      <c r="C67" s="18">
        <v>45062</v>
      </c>
      <c r="D67" s="17">
        <v>30000000000</v>
      </c>
      <c r="E67" s="17" t="s">
        <v>89</v>
      </c>
      <c r="F67" s="17">
        <v>4299480000</v>
      </c>
      <c r="G67" s="17" t="s">
        <v>60</v>
      </c>
      <c r="H67" s="17" t="s">
        <v>61</v>
      </c>
      <c r="I67" s="17" t="s">
        <v>62</v>
      </c>
      <c r="J67" s="17">
        <v>2023</v>
      </c>
      <c r="K67" s="17">
        <v>4.29948</v>
      </c>
    </row>
    <row r="68" spans="1:11" x14ac:dyDescent="0.2">
      <c r="A68" s="15" t="s">
        <v>58</v>
      </c>
      <c r="B68" s="15" t="s">
        <v>53</v>
      </c>
      <c r="C68" s="16">
        <v>44914</v>
      </c>
      <c r="D68" s="15">
        <v>30000000000</v>
      </c>
      <c r="E68" s="15" t="s">
        <v>89</v>
      </c>
      <c r="F68" s="15">
        <v>4298250000</v>
      </c>
      <c r="G68" s="15" t="s">
        <v>60</v>
      </c>
      <c r="H68" s="15" t="s">
        <v>61</v>
      </c>
      <c r="I68" s="15" t="s">
        <v>62</v>
      </c>
      <c r="J68" s="15">
        <v>2022</v>
      </c>
      <c r="K68" s="15">
        <v>4.2982500000000003</v>
      </c>
    </row>
    <row r="69" spans="1:11" x14ac:dyDescent="0.2">
      <c r="A69" s="17" t="s">
        <v>58</v>
      </c>
      <c r="B69" s="17" t="s">
        <v>53</v>
      </c>
      <c r="C69" s="18">
        <v>44615</v>
      </c>
      <c r="D69" s="17">
        <v>30000000000</v>
      </c>
      <c r="E69" s="17" t="s">
        <v>89</v>
      </c>
      <c r="F69" s="17">
        <v>4748496561</v>
      </c>
      <c r="G69" s="17" t="s">
        <v>60</v>
      </c>
      <c r="H69" s="17" t="s">
        <v>61</v>
      </c>
      <c r="I69" s="17" t="s">
        <v>62</v>
      </c>
      <c r="J69" s="17">
        <v>2022</v>
      </c>
      <c r="K69" s="17">
        <v>4.7484965609999996</v>
      </c>
    </row>
    <row r="70" spans="1:11" x14ac:dyDescent="0.2">
      <c r="A70" s="15" t="s">
        <v>52</v>
      </c>
      <c r="B70" s="15" t="s">
        <v>53</v>
      </c>
      <c r="C70" s="16">
        <v>45334</v>
      </c>
      <c r="D70" s="15">
        <v>300000000</v>
      </c>
      <c r="E70" s="15" t="s">
        <v>104</v>
      </c>
      <c r="F70" s="15">
        <v>348672900</v>
      </c>
      <c r="G70" s="15" t="s">
        <v>76</v>
      </c>
      <c r="H70" s="15" t="s">
        <v>74</v>
      </c>
      <c r="I70" s="15" t="s">
        <v>57</v>
      </c>
      <c r="J70" s="15">
        <v>2024</v>
      </c>
      <c r="K70" s="15">
        <v>0.34867290000000001</v>
      </c>
    </row>
    <row r="71" spans="1:11" x14ac:dyDescent="0.2">
      <c r="A71" s="17" t="s">
        <v>52</v>
      </c>
      <c r="B71" s="17" t="s">
        <v>53</v>
      </c>
      <c r="C71" s="18">
        <v>45334</v>
      </c>
      <c r="D71" s="17">
        <v>300000000</v>
      </c>
      <c r="E71" s="17" t="s">
        <v>104</v>
      </c>
      <c r="F71" s="17">
        <v>348672900</v>
      </c>
      <c r="G71" s="17" t="s">
        <v>76</v>
      </c>
      <c r="H71" s="17" t="s">
        <v>74</v>
      </c>
      <c r="I71" s="17" t="s">
        <v>57</v>
      </c>
      <c r="J71" s="17">
        <v>2024</v>
      </c>
      <c r="K71" s="17">
        <v>0.34867290000000001</v>
      </c>
    </row>
    <row r="72" spans="1:11" x14ac:dyDescent="0.2">
      <c r="A72" s="15" t="s">
        <v>85</v>
      </c>
      <c r="B72" s="15" t="s">
        <v>53</v>
      </c>
      <c r="C72" s="16">
        <v>44858</v>
      </c>
      <c r="D72" s="15">
        <v>5000000000</v>
      </c>
      <c r="E72" s="15" t="s">
        <v>89</v>
      </c>
      <c r="F72" s="15">
        <v>688457453</v>
      </c>
      <c r="G72" s="15" t="s">
        <v>60</v>
      </c>
      <c r="H72" s="15" t="s">
        <v>61</v>
      </c>
      <c r="I72" s="15" t="s">
        <v>86</v>
      </c>
      <c r="J72" s="15">
        <v>2022</v>
      </c>
      <c r="K72" s="15">
        <v>0.68845745300000005</v>
      </c>
    </row>
    <row r="73" spans="1:11" x14ac:dyDescent="0.2">
      <c r="A73" s="17" t="s">
        <v>85</v>
      </c>
      <c r="B73" s="17" t="s">
        <v>53</v>
      </c>
      <c r="C73" s="18">
        <v>44858</v>
      </c>
      <c r="D73" s="17">
        <v>5000000000</v>
      </c>
      <c r="E73" s="17" t="s">
        <v>89</v>
      </c>
      <c r="F73" s="17">
        <v>688457453</v>
      </c>
      <c r="G73" s="17" t="s">
        <v>60</v>
      </c>
      <c r="H73" s="17" t="s">
        <v>61</v>
      </c>
      <c r="I73" s="17" t="s">
        <v>86</v>
      </c>
      <c r="J73" s="17">
        <v>2022</v>
      </c>
      <c r="K73" s="17">
        <v>0.68845745300000005</v>
      </c>
    </row>
    <row r="74" spans="1:11" x14ac:dyDescent="0.2">
      <c r="A74" s="15" t="s">
        <v>85</v>
      </c>
      <c r="B74" s="15" t="s">
        <v>53</v>
      </c>
      <c r="C74" s="16">
        <v>44858</v>
      </c>
      <c r="D74" s="15">
        <v>15000000000</v>
      </c>
      <c r="E74" s="15" t="s">
        <v>89</v>
      </c>
      <c r="F74" s="15">
        <v>2065372358</v>
      </c>
      <c r="G74" s="15" t="s">
        <v>60</v>
      </c>
      <c r="H74" s="15" t="s">
        <v>61</v>
      </c>
      <c r="I74" s="15" t="s">
        <v>86</v>
      </c>
      <c r="J74" s="15">
        <v>2022</v>
      </c>
      <c r="K74" s="15">
        <v>2.0653723579999999</v>
      </c>
    </row>
    <row r="75" spans="1:11" x14ac:dyDescent="0.2">
      <c r="A75" s="17" t="s">
        <v>85</v>
      </c>
      <c r="B75" s="17" t="s">
        <v>53</v>
      </c>
      <c r="C75" s="18">
        <v>44858</v>
      </c>
      <c r="D75" s="17">
        <v>15000000000</v>
      </c>
      <c r="E75" s="17" t="s">
        <v>89</v>
      </c>
      <c r="F75" s="17">
        <v>2065372358</v>
      </c>
      <c r="G75" s="17" t="s">
        <v>60</v>
      </c>
      <c r="H75" s="17" t="s">
        <v>61</v>
      </c>
      <c r="I75" s="17" t="s">
        <v>86</v>
      </c>
      <c r="J75" s="17">
        <v>2022</v>
      </c>
      <c r="K75" s="17">
        <v>2.0653723579999999</v>
      </c>
    </row>
    <row r="76" spans="1:11" x14ac:dyDescent="0.2">
      <c r="A76" s="15" t="s">
        <v>52</v>
      </c>
      <c r="B76" s="15" t="s">
        <v>53</v>
      </c>
      <c r="C76" s="16">
        <v>44740</v>
      </c>
      <c r="D76" s="15">
        <v>750000000</v>
      </c>
      <c r="E76" s="15" t="s">
        <v>54</v>
      </c>
      <c r="F76" s="15">
        <v>792075000</v>
      </c>
      <c r="G76" s="15" t="s">
        <v>55</v>
      </c>
      <c r="H76" s="15" t="s">
        <v>56</v>
      </c>
      <c r="I76" s="15" t="s">
        <v>57</v>
      </c>
      <c r="J76" s="15">
        <v>2022</v>
      </c>
      <c r="K76" s="15">
        <v>0.79207499999999997</v>
      </c>
    </row>
    <row r="77" spans="1:11" x14ac:dyDescent="0.2">
      <c r="A77" s="17" t="s">
        <v>52</v>
      </c>
      <c r="B77" s="17" t="s">
        <v>53</v>
      </c>
      <c r="C77" s="18">
        <v>44740</v>
      </c>
      <c r="D77" s="17">
        <v>750000000</v>
      </c>
      <c r="E77" s="17" t="s">
        <v>54</v>
      </c>
      <c r="F77" s="17">
        <v>792075000</v>
      </c>
      <c r="G77" s="17" t="s">
        <v>55</v>
      </c>
      <c r="H77" s="17" t="s">
        <v>56</v>
      </c>
      <c r="I77" s="17" t="s">
        <v>57</v>
      </c>
      <c r="J77" s="17">
        <v>2022</v>
      </c>
      <c r="K77" s="17">
        <v>0.79207499999999997</v>
      </c>
    </row>
    <row r="78" spans="1:11" x14ac:dyDescent="0.2">
      <c r="A78" s="15" t="s">
        <v>58</v>
      </c>
      <c r="B78" s="15" t="s">
        <v>53</v>
      </c>
      <c r="C78" s="16">
        <v>44728</v>
      </c>
      <c r="D78" s="15">
        <v>500000000</v>
      </c>
      <c r="E78" s="15" t="s">
        <v>59</v>
      </c>
      <c r="F78" s="15">
        <v>500000000</v>
      </c>
      <c r="G78" s="15" t="s">
        <v>60</v>
      </c>
      <c r="H78" s="15" t="s">
        <v>61</v>
      </c>
      <c r="I78" s="15" t="s">
        <v>62</v>
      </c>
      <c r="J78" s="15">
        <v>2022</v>
      </c>
      <c r="K78" s="15">
        <v>0.5</v>
      </c>
    </row>
    <row r="79" spans="1:11" x14ac:dyDescent="0.2">
      <c r="A79" s="17" t="s">
        <v>58</v>
      </c>
      <c r="B79" s="17" t="s">
        <v>53</v>
      </c>
      <c r="C79" s="18">
        <v>44679</v>
      </c>
      <c r="D79" s="17">
        <v>500000000</v>
      </c>
      <c r="E79" s="17" t="s">
        <v>54</v>
      </c>
      <c r="F79" s="17">
        <v>524250000</v>
      </c>
      <c r="G79" s="17" t="s">
        <v>60</v>
      </c>
      <c r="H79" s="17" t="s">
        <v>61</v>
      </c>
      <c r="I79" s="17" t="s">
        <v>62</v>
      </c>
      <c r="J79" s="17">
        <v>2022</v>
      </c>
      <c r="K79" s="17">
        <v>0.52424999999999999</v>
      </c>
    </row>
    <row r="80" spans="1:11" x14ac:dyDescent="0.2">
      <c r="A80" s="15" t="s">
        <v>58</v>
      </c>
      <c r="B80" s="15" t="s">
        <v>53</v>
      </c>
      <c r="C80" s="16">
        <v>44679</v>
      </c>
      <c r="D80" s="15">
        <v>500000000</v>
      </c>
      <c r="E80" s="15" t="s">
        <v>59</v>
      </c>
      <c r="F80" s="15">
        <v>500000000</v>
      </c>
      <c r="G80" s="15" t="s">
        <v>60</v>
      </c>
      <c r="H80" s="15" t="s">
        <v>61</v>
      </c>
      <c r="I80" s="15" t="s">
        <v>62</v>
      </c>
      <c r="J80" s="15">
        <v>2022</v>
      </c>
      <c r="K80" s="15">
        <v>0.5</v>
      </c>
    </row>
    <row r="81" spans="1:11" x14ac:dyDescent="0.2">
      <c r="A81" s="17" t="s">
        <v>58</v>
      </c>
      <c r="B81" s="17" t="s">
        <v>53</v>
      </c>
      <c r="C81" s="18">
        <v>44679</v>
      </c>
      <c r="D81" s="17">
        <v>1000000000</v>
      </c>
      <c r="E81" s="17" t="s">
        <v>59</v>
      </c>
      <c r="F81" s="17">
        <v>1000000000</v>
      </c>
      <c r="G81" s="17" t="s">
        <v>60</v>
      </c>
      <c r="H81" s="17" t="s">
        <v>61</v>
      </c>
      <c r="I81" s="17" t="s">
        <v>62</v>
      </c>
      <c r="J81" s="17">
        <v>2022</v>
      </c>
      <c r="K81" s="17">
        <v>1</v>
      </c>
    </row>
    <row r="82" spans="1:11" x14ac:dyDescent="0.2">
      <c r="A82" s="15" t="s">
        <v>58</v>
      </c>
      <c r="B82" s="15" t="s">
        <v>53</v>
      </c>
      <c r="C82" s="16">
        <v>44609</v>
      </c>
      <c r="D82" s="15">
        <v>2000000000</v>
      </c>
      <c r="E82" s="15" t="s">
        <v>81</v>
      </c>
      <c r="F82" s="15">
        <v>256392910</v>
      </c>
      <c r="G82" s="15" t="s">
        <v>105</v>
      </c>
      <c r="H82" s="15" t="s">
        <v>61</v>
      </c>
      <c r="I82" s="15" t="s">
        <v>62</v>
      </c>
      <c r="J82" s="15">
        <v>2022</v>
      </c>
      <c r="K82" s="15">
        <v>0.25639290999999997</v>
      </c>
    </row>
    <row r="83" spans="1:11" x14ac:dyDescent="0.2">
      <c r="A83" s="17" t="s">
        <v>58</v>
      </c>
      <c r="B83" s="17" t="s">
        <v>53</v>
      </c>
      <c r="C83" s="18">
        <v>44608</v>
      </c>
      <c r="D83" s="17">
        <v>300000000</v>
      </c>
      <c r="E83" s="17" t="s">
        <v>59</v>
      </c>
      <c r="F83" s="17">
        <v>300000000</v>
      </c>
      <c r="G83" s="17" t="s">
        <v>60</v>
      </c>
      <c r="H83" s="17" t="s">
        <v>61</v>
      </c>
      <c r="I83" s="17" t="s">
        <v>62</v>
      </c>
      <c r="J83" s="17">
        <v>2022</v>
      </c>
      <c r="K83" s="17">
        <v>0.3</v>
      </c>
    </row>
    <row r="84" spans="1:11" x14ac:dyDescent="0.2">
      <c r="A84" s="15" t="s">
        <v>58</v>
      </c>
      <c r="B84" s="15" t="s">
        <v>53</v>
      </c>
      <c r="C84" s="16">
        <v>44608</v>
      </c>
      <c r="D84" s="15">
        <v>300000000</v>
      </c>
      <c r="E84" s="15" t="s">
        <v>59</v>
      </c>
      <c r="F84" s="15">
        <v>300000000</v>
      </c>
      <c r="G84" s="15" t="s">
        <v>60</v>
      </c>
      <c r="H84" s="15" t="s">
        <v>61</v>
      </c>
      <c r="I84" s="15" t="s">
        <v>62</v>
      </c>
      <c r="J84" s="15">
        <v>2022</v>
      </c>
      <c r="K84" s="15">
        <v>0.3</v>
      </c>
    </row>
    <row r="85" spans="1:11" x14ac:dyDescent="0.2">
      <c r="A85" s="17" t="s">
        <v>85</v>
      </c>
      <c r="B85" s="17" t="s">
        <v>53</v>
      </c>
      <c r="C85" s="18">
        <v>44580</v>
      </c>
      <c r="D85" s="17">
        <v>300000000</v>
      </c>
      <c r="E85" s="17" t="s">
        <v>59</v>
      </c>
      <c r="F85" s="17">
        <v>300000000</v>
      </c>
      <c r="G85" s="17" t="s">
        <v>60</v>
      </c>
      <c r="H85" s="17" t="s">
        <v>61</v>
      </c>
      <c r="I85" s="17" t="s">
        <v>86</v>
      </c>
      <c r="J85" s="17">
        <v>2022</v>
      </c>
      <c r="K85" s="17">
        <v>0.3</v>
      </c>
    </row>
    <row r="86" spans="1:11" x14ac:dyDescent="0.2">
      <c r="A86" s="15" t="s">
        <v>85</v>
      </c>
      <c r="B86" s="15" t="s">
        <v>53</v>
      </c>
      <c r="C86" s="16">
        <v>44580</v>
      </c>
      <c r="D86" s="15">
        <v>300000000</v>
      </c>
      <c r="E86" s="15" t="s">
        <v>59</v>
      </c>
      <c r="F86" s="15">
        <v>300000000</v>
      </c>
      <c r="G86" s="15" t="s">
        <v>60</v>
      </c>
      <c r="H86" s="15" t="s">
        <v>61</v>
      </c>
      <c r="I86" s="15" t="s">
        <v>86</v>
      </c>
      <c r="J86" s="15">
        <v>2022</v>
      </c>
      <c r="K86" s="15">
        <v>0.3</v>
      </c>
    </row>
    <row r="87" spans="1:11" x14ac:dyDescent="0.2">
      <c r="A87" s="17" t="s">
        <v>106</v>
      </c>
      <c r="B87" s="17" t="s">
        <v>53</v>
      </c>
      <c r="C87" s="18">
        <v>45160</v>
      </c>
      <c r="D87" s="17">
        <v>1100000000</v>
      </c>
      <c r="E87" s="17" t="s">
        <v>89</v>
      </c>
      <c r="F87" s="17">
        <v>150821000</v>
      </c>
      <c r="G87" s="17" t="s">
        <v>60</v>
      </c>
      <c r="H87" s="17" t="s">
        <v>56</v>
      </c>
      <c r="I87" s="17" t="s">
        <v>107</v>
      </c>
      <c r="J87" s="17">
        <v>2023</v>
      </c>
      <c r="K87" s="17">
        <v>0.15082100000000001</v>
      </c>
    </row>
    <row r="88" spans="1:11" x14ac:dyDescent="0.2">
      <c r="A88" s="15" t="s">
        <v>108</v>
      </c>
      <c r="B88" s="15" t="s">
        <v>53</v>
      </c>
      <c r="C88" s="16">
        <v>44971</v>
      </c>
      <c r="D88" s="15">
        <v>560000000</v>
      </c>
      <c r="E88" s="15" t="s">
        <v>54</v>
      </c>
      <c r="F88" s="15">
        <v>601161680</v>
      </c>
      <c r="G88" s="15" t="s">
        <v>109</v>
      </c>
      <c r="H88" s="15" t="s">
        <v>110</v>
      </c>
      <c r="I88" s="15" t="s">
        <v>111</v>
      </c>
      <c r="J88" s="15">
        <v>2023</v>
      </c>
      <c r="K88" s="15">
        <v>0.60116168000000003</v>
      </c>
    </row>
    <row r="89" spans="1:11" x14ac:dyDescent="0.2">
      <c r="A89" s="17" t="s">
        <v>112</v>
      </c>
      <c r="B89" s="17" t="s">
        <v>53</v>
      </c>
      <c r="C89" s="18">
        <v>45309</v>
      </c>
      <c r="D89" s="17">
        <v>55000000000</v>
      </c>
      <c r="E89" s="17" t="s">
        <v>113</v>
      </c>
      <c r="F89" s="17">
        <v>41085000</v>
      </c>
      <c r="G89" s="17" t="s">
        <v>114</v>
      </c>
      <c r="H89" s="17" t="s">
        <v>110</v>
      </c>
      <c r="I89" s="17" t="s">
        <v>115</v>
      </c>
      <c r="J89" s="17">
        <v>2024</v>
      </c>
      <c r="K89" s="17">
        <v>4.1085000000000003E-2</v>
      </c>
    </row>
    <row r="90" spans="1:11" x14ac:dyDescent="0.2">
      <c r="A90" s="15" t="s">
        <v>112</v>
      </c>
      <c r="B90" s="15" t="s">
        <v>53</v>
      </c>
      <c r="C90" s="16">
        <v>45309</v>
      </c>
      <c r="D90" s="15">
        <v>95000000000</v>
      </c>
      <c r="E90" s="15" t="s">
        <v>113</v>
      </c>
      <c r="F90" s="15">
        <v>70965000</v>
      </c>
      <c r="G90" s="15" t="s">
        <v>114</v>
      </c>
      <c r="H90" s="15" t="s">
        <v>110</v>
      </c>
      <c r="I90" s="15" t="s">
        <v>115</v>
      </c>
      <c r="J90" s="15">
        <v>2024</v>
      </c>
      <c r="K90" s="15">
        <v>7.0965E-2</v>
      </c>
    </row>
    <row r="91" spans="1:11" x14ac:dyDescent="0.2">
      <c r="A91" s="17" t="s">
        <v>116</v>
      </c>
      <c r="B91" s="17" t="s">
        <v>68</v>
      </c>
      <c r="C91" s="18">
        <v>45036</v>
      </c>
      <c r="D91" s="17">
        <v>500000000</v>
      </c>
      <c r="E91" s="17" t="s">
        <v>59</v>
      </c>
      <c r="F91" s="17">
        <v>500000000</v>
      </c>
      <c r="G91" s="17" t="s">
        <v>64</v>
      </c>
      <c r="H91" s="17" t="s">
        <v>117</v>
      </c>
      <c r="I91" s="17" t="s">
        <v>118</v>
      </c>
      <c r="J91" s="17">
        <v>2023</v>
      </c>
      <c r="K91" s="17">
        <v>0.5</v>
      </c>
    </row>
    <row r="92" spans="1:11" x14ac:dyDescent="0.2">
      <c r="A92" s="15" t="s">
        <v>119</v>
      </c>
      <c r="B92" s="15" t="s">
        <v>53</v>
      </c>
      <c r="C92" s="16">
        <v>44747</v>
      </c>
      <c r="D92" s="15">
        <v>300000000</v>
      </c>
      <c r="E92" s="15" t="s">
        <v>59</v>
      </c>
      <c r="F92" s="15">
        <v>300000000</v>
      </c>
      <c r="G92" s="15" t="s">
        <v>64</v>
      </c>
      <c r="H92" s="15" t="s">
        <v>110</v>
      </c>
      <c r="I92" s="15" t="s">
        <v>120</v>
      </c>
      <c r="J92" s="15">
        <v>2022</v>
      </c>
      <c r="K92" s="15">
        <v>0.3</v>
      </c>
    </row>
    <row r="93" spans="1:11" x14ac:dyDescent="0.2">
      <c r="A93" s="17" t="s">
        <v>121</v>
      </c>
      <c r="B93" s="17" t="s">
        <v>53</v>
      </c>
      <c r="C93" s="18">
        <v>44792</v>
      </c>
      <c r="D93" s="17">
        <v>1750000000</v>
      </c>
      <c r="E93" s="17" t="s">
        <v>59</v>
      </c>
      <c r="F93" s="17">
        <v>1750000000</v>
      </c>
      <c r="G93" s="17" t="s">
        <v>64</v>
      </c>
      <c r="H93" s="17" t="s">
        <v>93</v>
      </c>
      <c r="I93" s="17" t="s">
        <v>122</v>
      </c>
      <c r="J93" s="17">
        <v>2022</v>
      </c>
      <c r="K93" s="17">
        <v>1.75</v>
      </c>
    </row>
    <row r="94" spans="1:11" x14ac:dyDescent="0.2">
      <c r="A94" s="15" t="s">
        <v>112</v>
      </c>
      <c r="B94" s="15" t="s">
        <v>53</v>
      </c>
      <c r="C94" s="16">
        <v>44607</v>
      </c>
      <c r="D94" s="15">
        <v>90000000000</v>
      </c>
      <c r="E94" s="15" t="s">
        <v>113</v>
      </c>
      <c r="F94" s="15">
        <v>75215470</v>
      </c>
      <c r="G94" s="15" t="s">
        <v>114</v>
      </c>
      <c r="H94" s="15" t="s">
        <v>110</v>
      </c>
      <c r="I94" s="15" t="s">
        <v>115</v>
      </c>
      <c r="J94" s="15">
        <v>2022</v>
      </c>
      <c r="K94" s="15">
        <v>7.5215470000000006E-2</v>
      </c>
    </row>
    <row r="95" spans="1:11" x14ac:dyDescent="0.2">
      <c r="A95" s="17" t="s">
        <v>123</v>
      </c>
      <c r="B95" s="17" t="s">
        <v>53</v>
      </c>
      <c r="C95" s="18">
        <v>45469</v>
      </c>
      <c r="D95" s="17">
        <v>80000000000</v>
      </c>
      <c r="E95" s="17" t="s">
        <v>113</v>
      </c>
      <c r="F95" s="17">
        <v>57360000</v>
      </c>
      <c r="G95" s="17" t="s">
        <v>114</v>
      </c>
      <c r="H95" s="17" t="s">
        <v>56</v>
      </c>
      <c r="I95" s="17" t="s">
        <v>124</v>
      </c>
      <c r="J95" s="17">
        <v>2024</v>
      </c>
      <c r="K95" s="17">
        <v>5.7360000000000001E-2</v>
      </c>
    </row>
    <row r="96" spans="1:11" x14ac:dyDescent="0.2">
      <c r="A96" s="15" t="s">
        <v>123</v>
      </c>
      <c r="B96" s="15" t="s">
        <v>53</v>
      </c>
      <c r="C96" s="16">
        <v>45469</v>
      </c>
      <c r="D96" s="15">
        <v>70000000000</v>
      </c>
      <c r="E96" s="15" t="s">
        <v>113</v>
      </c>
      <c r="F96" s="15">
        <v>50190000</v>
      </c>
      <c r="G96" s="15" t="s">
        <v>114</v>
      </c>
      <c r="H96" s="15" t="s">
        <v>56</v>
      </c>
      <c r="I96" s="15" t="s">
        <v>124</v>
      </c>
      <c r="J96" s="15">
        <v>2024</v>
      </c>
      <c r="K96" s="15">
        <v>5.0189999999999999E-2</v>
      </c>
    </row>
    <row r="97" spans="1:11" x14ac:dyDescent="0.2">
      <c r="A97" s="17" t="s">
        <v>123</v>
      </c>
      <c r="B97" s="17" t="s">
        <v>53</v>
      </c>
      <c r="C97" s="18">
        <v>45188</v>
      </c>
      <c r="D97" s="17">
        <v>100000000000</v>
      </c>
      <c r="E97" s="17" t="s">
        <v>113</v>
      </c>
      <c r="F97" s="17">
        <v>75200000</v>
      </c>
      <c r="G97" s="17" t="s">
        <v>114</v>
      </c>
      <c r="H97" s="17" t="s">
        <v>56</v>
      </c>
      <c r="I97" s="17" t="s">
        <v>124</v>
      </c>
      <c r="J97" s="17">
        <v>2023</v>
      </c>
      <c r="K97" s="17">
        <v>7.5200000000000003E-2</v>
      </c>
    </row>
    <row r="98" spans="1:11" x14ac:dyDescent="0.2">
      <c r="A98" s="15" t="s">
        <v>123</v>
      </c>
      <c r="B98" s="15" t="s">
        <v>53</v>
      </c>
      <c r="C98" s="16">
        <v>45188</v>
      </c>
      <c r="D98" s="15">
        <v>140000000000</v>
      </c>
      <c r="E98" s="15" t="s">
        <v>113</v>
      </c>
      <c r="F98" s="15">
        <v>105280000</v>
      </c>
      <c r="G98" s="15" t="s">
        <v>114</v>
      </c>
      <c r="H98" s="15" t="s">
        <v>56</v>
      </c>
      <c r="I98" s="15" t="s">
        <v>124</v>
      </c>
      <c r="J98" s="15">
        <v>2023</v>
      </c>
      <c r="K98" s="15">
        <v>0.10528</v>
      </c>
    </row>
    <row r="99" spans="1:11" x14ac:dyDescent="0.2">
      <c r="A99" s="17" t="s">
        <v>123</v>
      </c>
      <c r="B99" s="17" t="s">
        <v>53</v>
      </c>
      <c r="C99" s="18">
        <v>44595</v>
      </c>
      <c r="D99" s="17">
        <v>50000000000</v>
      </c>
      <c r="E99" s="17" t="s">
        <v>113</v>
      </c>
      <c r="F99" s="17">
        <v>41540908</v>
      </c>
      <c r="G99" s="17" t="s">
        <v>114</v>
      </c>
      <c r="H99" s="17" t="s">
        <v>56</v>
      </c>
      <c r="I99" s="17" t="s">
        <v>124</v>
      </c>
      <c r="J99" s="17">
        <v>2022</v>
      </c>
      <c r="K99" s="17">
        <v>4.1540908000000001E-2</v>
      </c>
    </row>
    <row r="100" spans="1:11" x14ac:dyDescent="0.2">
      <c r="A100" s="15" t="s">
        <v>123</v>
      </c>
      <c r="B100" s="15" t="s">
        <v>53</v>
      </c>
      <c r="C100" s="16">
        <v>44595</v>
      </c>
      <c r="D100" s="15">
        <v>100000000000</v>
      </c>
      <c r="E100" s="15" t="s">
        <v>113</v>
      </c>
      <c r="F100" s="15">
        <v>83081816</v>
      </c>
      <c r="G100" s="15" t="s">
        <v>114</v>
      </c>
      <c r="H100" s="15" t="s">
        <v>56</v>
      </c>
      <c r="I100" s="15" t="s">
        <v>124</v>
      </c>
      <c r="J100" s="15">
        <v>2022</v>
      </c>
      <c r="K100" s="15">
        <v>8.3081816000000003E-2</v>
      </c>
    </row>
    <row r="101" spans="1:11" x14ac:dyDescent="0.2">
      <c r="A101" s="17" t="s">
        <v>125</v>
      </c>
      <c r="B101" s="17" t="s">
        <v>53</v>
      </c>
      <c r="C101" s="18">
        <v>45510</v>
      </c>
      <c r="D101" s="17">
        <v>200000000</v>
      </c>
      <c r="E101" s="17" t="s">
        <v>104</v>
      </c>
      <c r="F101" s="17">
        <v>235291400</v>
      </c>
      <c r="G101" s="17" t="s">
        <v>114</v>
      </c>
      <c r="H101" s="17" t="s">
        <v>126</v>
      </c>
      <c r="I101" s="17" t="s">
        <v>127</v>
      </c>
      <c r="J101" s="17">
        <v>2024</v>
      </c>
      <c r="K101" s="17">
        <v>0.23529140000000001</v>
      </c>
    </row>
    <row r="102" spans="1:11" x14ac:dyDescent="0.2">
      <c r="A102" s="15" t="s">
        <v>128</v>
      </c>
      <c r="B102" s="15" t="s">
        <v>53</v>
      </c>
      <c r="C102" s="16">
        <v>44585</v>
      </c>
      <c r="D102" s="15">
        <v>275000000000</v>
      </c>
      <c r="E102" s="15" t="s">
        <v>113</v>
      </c>
      <c r="F102" s="15">
        <v>229900000</v>
      </c>
      <c r="G102" s="15" t="s">
        <v>114</v>
      </c>
      <c r="H102" s="15" t="s">
        <v>56</v>
      </c>
      <c r="I102" s="15" t="s">
        <v>129</v>
      </c>
      <c r="J102" s="15">
        <v>2022</v>
      </c>
      <c r="K102" s="15">
        <v>0.22989999999999999</v>
      </c>
    </row>
    <row r="103" spans="1:11" x14ac:dyDescent="0.2">
      <c r="A103" s="17" t="s">
        <v>125</v>
      </c>
      <c r="B103" s="17" t="s">
        <v>53</v>
      </c>
      <c r="C103" s="18">
        <v>45134</v>
      </c>
      <c r="D103" s="17">
        <v>400000000</v>
      </c>
      <c r="E103" s="17" t="s">
        <v>59</v>
      </c>
      <c r="F103" s="17">
        <v>400000000</v>
      </c>
      <c r="G103" s="17" t="s">
        <v>64</v>
      </c>
      <c r="H103" s="17" t="s">
        <v>110</v>
      </c>
      <c r="I103" s="17" t="s">
        <v>127</v>
      </c>
      <c r="J103" s="17">
        <v>2023</v>
      </c>
      <c r="K103" s="17">
        <v>0.4</v>
      </c>
    </row>
    <row r="104" spans="1:11" x14ac:dyDescent="0.2">
      <c r="A104" s="15" t="s">
        <v>130</v>
      </c>
      <c r="B104" s="15" t="s">
        <v>53</v>
      </c>
      <c r="C104" s="16">
        <v>44966</v>
      </c>
      <c r="D104" s="15">
        <v>1000000000</v>
      </c>
      <c r="E104" s="15" t="s">
        <v>59</v>
      </c>
      <c r="F104" s="15">
        <v>1000000000</v>
      </c>
      <c r="G104" s="15" t="s">
        <v>64</v>
      </c>
      <c r="H104" s="15" t="s">
        <v>131</v>
      </c>
      <c r="I104" s="15" t="s">
        <v>132</v>
      </c>
      <c r="J104" s="15">
        <v>2023</v>
      </c>
      <c r="K104" s="15">
        <v>1</v>
      </c>
    </row>
    <row r="105" spans="1:11" x14ac:dyDescent="0.2">
      <c r="A105" s="17" t="s">
        <v>133</v>
      </c>
      <c r="B105" s="17" t="s">
        <v>53</v>
      </c>
      <c r="C105" s="18">
        <v>45408</v>
      </c>
      <c r="D105" s="17">
        <v>1000000000</v>
      </c>
      <c r="E105" s="17" t="s">
        <v>59</v>
      </c>
      <c r="F105" s="17">
        <v>1000000000</v>
      </c>
      <c r="G105" s="17" t="s">
        <v>105</v>
      </c>
      <c r="H105" s="17" t="s">
        <v>56</v>
      </c>
      <c r="I105" s="17" t="s">
        <v>134</v>
      </c>
      <c r="J105" s="17">
        <v>2024</v>
      </c>
      <c r="K105" s="17">
        <v>1</v>
      </c>
    </row>
    <row r="106" spans="1:11" x14ac:dyDescent="0.2">
      <c r="A106" s="15" t="s">
        <v>135</v>
      </c>
      <c r="B106" s="15" t="s">
        <v>53</v>
      </c>
      <c r="C106" s="16">
        <v>45636</v>
      </c>
      <c r="D106" s="15">
        <v>500000000</v>
      </c>
      <c r="E106" s="15" t="s">
        <v>54</v>
      </c>
      <c r="F106" s="15">
        <v>524293000</v>
      </c>
      <c r="G106" s="15" t="s">
        <v>76</v>
      </c>
      <c r="H106" s="15" t="s">
        <v>61</v>
      </c>
      <c r="I106" s="15" t="s">
        <v>136</v>
      </c>
      <c r="J106" s="15">
        <v>2024</v>
      </c>
      <c r="K106" s="15">
        <v>0.52429300000000001</v>
      </c>
    </row>
    <row r="107" spans="1:11" x14ac:dyDescent="0.2">
      <c r="A107" s="17" t="s">
        <v>137</v>
      </c>
      <c r="B107" s="17" t="s">
        <v>53</v>
      </c>
      <c r="C107" s="18">
        <v>45580</v>
      </c>
      <c r="D107" s="17">
        <v>6000000</v>
      </c>
      <c r="E107" s="17" t="s">
        <v>59</v>
      </c>
      <c r="F107" s="17">
        <v>6000000</v>
      </c>
      <c r="G107" s="17" t="s">
        <v>138</v>
      </c>
      <c r="H107" s="17" t="s">
        <v>61</v>
      </c>
      <c r="I107" s="17" t="s">
        <v>139</v>
      </c>
      <c r="J107" s="17">
        <v>2024</v>
      </c>
      <c r="K107" s="17">
        <v>6.0000000000000001E-3</v>
      </c>
    </row>
    <row r="108" spans="1:11" x14ac:dyDescent="0.2">
      <c r="A108" s="15" t="s">
        <v>140</v>
      </c>
      <c r="B108" s="15" t="s">
        <v>53</v>
      </c>
      <c r="C108" s="16">
        <v>45322</v>
      </c>
      <c r="D108" s="15">
        <v>800000000</v>
      </c>
      <c r="E108" s="15" t="s">
        <v>54</v>
      </c>
      <c r="F108" s="15">
        <v>866012000</v>
      </c>
      <c r="G108" s="15" t="s">
        <v>55</v>
      </c>
      <c r="H108" s="15" t="s">
        <v>77</v>
      </c>
      <c r="I108" s="15" t="s">
        <v>141</v>
      </c>
      <c r="J108" s="15">
        <v>2024</v>
      </c>
      <c r="K108" s="15">
        <v>0.866012</v>
      </c>
    </row>
    <row r="109" spans="1:11" x14ac:dyDescent="0.2">
      <c r="A109" s="17" t="s">
        <v>137</v>
      </c>
      <c r="B109" s="17" t="s">
        <v>53</v>
      </c>
      <c r="C109" s="18">
        <v>45512</v>
      </c>
      <c r="D109" s="17">
        <v>25000000</v>
      </c>
      <c r="E109" s="17" t="s">
        <v>54</v>
      </c>
      <c r="F109" s="17">
        <v>27288550</v>
      </c>
      <c r="G109" s="17" t="s">
        <v>138</v>
      </c>
      <c r="H109" s="17" t="s">
        <v>61</v>
      </c>
      <c r="I109" s="17" t="s">
        <v>139</v>
      </c>
      <c r="J109" s="17">
        <v>2024</v>
      </c>
      <c r="K109" s="17">
        <v>2.7288550000000002E-2</v>
      </c>
    </row>
    <row r="110" spans="1:11" x14ac:dyDescent="0.2">
      <c r="A110" s="15" t="s">
        <v>140</v>
      </c>
      <c r="B110" s="15" t="s">
        <v>53</v>
      </c>
      <c r="C110" s="16">
        <v>45182</v>
      </c>
      <c r="D110" s="15">
        <v>650000000</v>
      </c>
      <c r="E110" s="15" t="s">
        <v>54</v>
      </c>
      <c r="F110" s="15">
        <v>697930350</v>
      </c>
      <c r="G110" s="15" t="s">
        <v>55</v>
      </c>
      <c r="H110" s="15" t="s">
        <v>77</v>
      </c>
      <c r="I110" s="15" t="s">
        <v>141</v>
      </c>
      <c r="J110" s="15">
        <v>2023</v>
      </c>
      <c r="K110" s="15">
        <v>0.69793035000000003</v>
      </c>
    </row>
    <row r="111" spans="1:11" x14ac:dyDescent="0.2">
      <c r="A111" s="17" t="s">
        <v>142</v>
      </c>
      <c r="B111" s="17" t="s">
        <v>53</v>
      </c>
      <c r="C111" s="18">
        <v>44960</v>
      </c>
      <c r="D111" s="17">
        <v>650000000</v>
      </c>
      <c r="E111" s="17" t="s">
        <v>54</v>
      </c>
      <c r="F111" s="17">
        <v>707567900</v>
      </c>
      <c r="G111" s="17" t="s">
        <v>55</v>
      </c>
      <c r="H111" s="17" t="s">
        <v>56</v>
      </c>
      <c r="I111" s="17" t="s">
        <v>143</v>
      </c>
      <c r="J111" s="17">
        <v>2023</v>
      </c>
      <c r="K111" s="17">
        <v>0.70756790000000003</v>
      </c>
    </row>
    <row r="112" spans="1:11" x14ac:dyDescent="0.2">
      <c r="A112" s="15" t="s">
        <v>135</v>
      </c>
      <c r="B112" s="15" t="s">
        <v>53</v>
      </c>
      <c r="C112" s="16">
        <v>44894</v>
      </c>
      <c r="D112" s="15">
        <v>500000000</v>
      </c>
      <c r="E112" s="15" t="s">
        <v>54</v>
      </c>
      <c r="F112" s="15">
        <v>516099500</v>
      </c>
      <c r="G112" s="15" t="s">
        <v>76</v>
      </c>
      <c r="H112" s="15" t="s">
        <v>144</v>
      </c>
      <c r="I112" s="15" t="s">
        <v>136</v>
      </c>
      <c r="J112" s="15">
        <v>2022</v>
      </c>
      <c r="K112" s="15">
        <v>0.51609950000000004</v>
      </c>
    </row>
    <row r="113" spans="1:11" x14ac:dyDescent="0.2">
      <c r="A113" s="17" t="s">
        <v>137</v>
      </c>
      <c r="B113" s="17" t="s">
        <v>53</v>
      </c>
      <c r="C113" s="18">
        <v>45407</v>
      </c>
      <c r="D113" s="17">
        <v>25000000</v>
      </c>
      <c r="E113" s="17" t="s">
        <v>54</v>
      </c>
      <c r="F113" s="17">
        <v>26821175</v>
      </c>
      <c r="G113" s="17" t="s">
        <v>138</v>
      </c>
      <c r="H113" s="17" t="s">
        <v>61</v>
      </c>
      <c r="I113" s="17" t="s">
        <v>139</v>
      </c>
      <c r="J113" s="17">
        <v>2024</v>
      </c>
      <c r="K113" s="17">
        <v>2.6821174999999999E-2</v>
      </c>
    </row>
    <row r="114" spans="1:11" x14ac:dyDescent="0.2">
      <c r="A114" s="15" t="s">
        <v>137</v>
      </c>
      <c r="B114" s="15" t="s">
        <v>53</v>
      </c>
      <c r="C114" s="16">
        <v>45617</v>
      </c>
      <c r="D114" s="15">
        <v>1200000000</v>
      </c>
      <c r="E114" s="15" t="s">
        <v>145</v>
      </c>
      <c r="F114" s="15">
        <v>36846000</v>
      </c>
      <c r="G114" s="15" t="s">
        <v>138</v>
      </c>
      <c r="H114" s="15" t="s">
        <v>61</v>
      </c>
      <c r="I114" s="15" t="s">
        <v>139</v>
      </c>
      <c r="J114" s="15">
        <v>2024</v>
      </c>
      <c r="K114" s="15">
        <v>3.6845999999999997E-2</v>
      </c>
    </row>
    <row r="115" spans="1:11" x14ac:dyDescent="0.2">
      <c r="A115" s="17" t="s">
        <v>137</v>
      </c>
      <c r="B115" s="17" t="s">
        <v>53</v>
      </c>
      <c r="C115" s="18">
        <v>45594</v>
      </c>
      <c r="D115" s="17">
        <v>750000000</v>
      </c>
      <c r="E115" s="17" t="s">
        <v>54</v>
      </c>
      <c r="F115" s="17">
        <v>820254750</v>
      </c>
      <c r="G115" s="17" t="s">
        <v>138</v>
      </c>
      <c r="H115" s="17" t="s">
        <v>56</v>
      </c>
      <c r="I115" s="17" t="s">
        <v>139</v>
      </c>
      <c r="J115" s="17">
        <v>2024</v>
      </c>
      <c r="K115" s="17">
        <v>0.82025475000000003</v>
      </c>
    </row>
    <row r="116" spans="1:11" x14ac:dyDescent="0.2">
      <c r="A116" s="15" t="s">
        <v>137</v>
      </c>
      <c r="B116" s="15" t="s">
        <v>53</v>
      </c>
      <c r="C116" s="16">
        <v>45429</v>
      </c>
      <c r="D116" s="15">
        <v>150000000</v>
      </c>
      <c r="E116" s="15" t="s">
        <v>54</v>
      </c>
      <c r="F116" s="15">
        <v>163415700</v>
      </c>
      <c r="G116" s="15" t="s">
        <v>138</v>
      </c>
      <c r="H116" s="15" t="s">
        <v>61</v>
      </c>
      <c r="I116" s="15" t="s">
        <v>139</v>
      </c>
      <c r="J116" s="15">
        <v>2024</v>
      </c>
      <c r="K116" s="15">
        <v>0.1634157</v>
      </c>
    </row>
    <row r="117" spans="1:11" x14ac:dyDescent="0.2">
      <c r="A117" s="17" t="s">
        <v>146</v>
      </c>
      <c r="B117" s="17" t="s">
        <v>53</v>
      </c>
      <c r="C117" s="18">
        <v>44769</v>
      </c>
      <c r="D117" s="17">
        <v>700000000</v>
      </c>
      <c r="E117" s="17" t="s">
        <v>89</v>
      </c>
      <c r="F117" s="17">
        <v>103691598</v>
      </c>
      <c r="G117" s="17" t="s">
        <v>60</v>
      </c>
      <c r="H117" s="17" t="s">
        <v>56</v>
      </c>
      <c r="I117" s="17" t="s">
        <v>147</v>
      </c>
      <c r="J117" s="17">
        <v>2022</v>
      </c>
      <c r="K117" s="17">
        <v>0.103691598</v>
      </c>
    </row>
    <row r="118" spans="1:11" x14ac:dyDescent="0.2">
      <c r="A118" s="15" t="s">
        <v>140</v>
      </c>
      <c r="B118" s="15" t="s">
        <v>53</v>
      </c>
      <c r="C118" s="16">
        <v>45405</v>
      </c>
      <c r="D118" s="15">
        <v>700000000</v>
      </c>
      <c r="E118" s="15" t="s">
        <v>59</v>
      </c>
      <c r="F118" s="15">
        <v>700000000</v>
      </c>
      <c r="G118" s="15" t="s">
        <v>55</v>
      </c>
      <c r="H118" s="15" t="s">
        <v>148</v>
      </c>
      <c r="I118" s="15" t="s">
        <v>141</v>
      </c>
      <c r="J118" s="15">
        <v>2024</v>
      </c>
      <c r="K118" s="15">
        <v>0.7</v>
      </c>
    </row>
    <row r="119" spans="1:11" x14ac:dyDescent="0.2">
      <c r="A119" s="17" t="s">
        <v>140</v>
      </c>
      <c r="B119" s="17" t="s">
        <v>53</v>
      </c>
      <c r="C119" s="18">
        <v>45405</v>
      </c>
      <c r="D119" s="17">
        <v>800000000</v>
      </c>
      <c r="E119" s="17" t="s">
        <v>59</v>
      </c>
      <c r="F119" s="17">
        <v>800000000</v>
      </c>
      <c r="G119" s="17" t="s">
        <v>55</v>
      </c>
      <c r="H119" s="17" t="s">
        <v>148</v>
      </c>
      <c r="I119" s="17" t="s">
        <v>141</v>
      </c>
      <c r="J119" s="17">
        <v>2024</v>
      </c>
      <c r="K119" s="17">
        <v>0.8</v>
      </c>
    </row>
    <row r="120" spans="1:11" x14ac:dyDescent="0.2">
      <c r="A120" s="15" t="s">
        <v>140</v>
      </c>
      <c r="B120" s="15" t="s">
        <v>53</v>
      </c>
      <c r="C120" s="16">
        <v>45030</v>
      </c>
      <c r="D120" s="15">
        <v>600000000</v>
      </c>
      <c r="E120" s="15" t="s">
        <v>59</v>
      </c>
      <c r="F120" s="15">
        <v>600000000</v>
      </c>
      <c r="G120" s="15" t="s">
        <v>55</v>
      </c>
      <c r="H120" s="15" t="s">
        <v>148</v>
      </c>
      <c r="I120" s="15" t="s">
        <v>141</v>
      </c>
      <c r="J120" s="15">
        <v>2023</v>
      </c>
      <c r="K120" s="15">
        <v>0.6</v>
      </c>
    </row>
    <row r="121" spans="1:11" x14ac:dyDescent="0.2">
      <c r="A121" s="17" t="s">
        <v>140</v>
      </c>
      <c r="B121" s="17" t="s">
        <v>53</v>
      </c>
      <c r="C121" s="18">
        <v>45030</v>
      </c>
      <c r="D121" s="17">
        <v>600000000</v>
      </c>
      <c r="E121" s="17" t="s">
        <v>59</v>
      </c>
      <c r="F121" s="17">
        <v>600000000</v>
      </c>
      <c r="G121" s="17" t="s">
        <v>55</v>
      </c>
      <c r="H121" s="17" t="s">
        <v>148</v>
      </c>
      <c r="I121" s="17" t="s">
        <v>141</v>
      </c>
      <c r="J121" s="17">
        <v>2023</v>
      </c>
      <c r="K121" s="17">
        <v>0.6</v>
      </c>
    </row>
    <row r="122" spans="1:11" x14ac:dyDescent="0.2">
      <c r="A122" s="15" t="s">
        <v>149</v>
      </c>
      <c r="B122" s="15" t="s">
        <v>53</v>
      </c>
      <c r="C122" s="16">
        <v>44712</v>
      </c>
      <c r="D122" s="15">
        <v>1770850000</v>
      </c>
      <c r="E122" s="15" t="s">
        <v>59</v>
      </c>
      <c r="F122" s="15">
        <v>1770850000</v>
      </c>
      <c r="G122" s="15" t="s">
        <v>64</v>
      </c>
      <c r="H122" s="15" t="s">
        <v>56</v>
      </c>
      <c r="I122" s="15" t="s">
        <v>150</v>
      </c>
      <c r="J122" s="15">
        <v>2022</v>
      </c>
      <c r="K122" s="15">
        <v>1.77085</v>
      </c>
    </row>
    <row r="123" spans="1:11" x14ac:dyDescent="0.2">
      <c r="A123" s="17" t="s">
        <v>149</v>
      </c>
      <c r="B123" s="17" t="s">
        <v>53</v>
      </c>
      <c r="C123" s="18">
        <v>45306</v>
      </c>
      <c r="D123" s="17">
        <v>1000000000</v>
      </c>
      <c r="E123" s="17" t="s">
        <v>59</v>
      </c>
      <c r="F123" s="17">
        <v>1000000000</v>
      </c>
      <c r="G123" s="17" t="s">
        <v>64</v>
      </c>
      <c r="H123" s="17" t="s">
        <v>110</v>
      </c>
      <c r="I123" s="17" t="s">
        <v>150</v>
      </c>
      <c r="J123" s="17">
        <v>2024</v>
      </c>
      <c r="K123" s="17">
        <v>1</v>
      </c>
    </row>
    <row r="124" spans="1:11" x14ac:dyDescent="0.2">
      <c r="A124" s="15" t="s">
        <v>151</v>
      </c>
      <c r="B124" s="15" t="s">
        <v>53</v>
      </c>
      <c r="C124" s="16">
        <v>45358</v>
      </c>
      <c r="D124" s="15">
        <v>200000000</v>
      </c>
      <c r="E124" s="15" t="s">
        <v>54</v>
      </c>
      <c r="F124" s="15">
        <v>218996800</v>
      </c>
      <c r="G124" s="15" t="s">
        <v>64</v>
      </c>
      <c r="H124" s="15" t="s">
        <v>152</v>
      </c>
      <c r="I124" s="15" t="s">
        <v>153</v>
      </c>
      <c r="J124" s="15">
        <v>2024</v>
      </c>
      <c r="K124" s="15">
        <v>0.21899679999999999</v>
      </c>
    </row>
    <row r="125" spans="1:11" x14ac:dyDescent="0.2">
      <c r="A125" s="17" t="s">
        <v>154</v>
      </c>
      <c r="B125" s="17" t="s">
        <v>53</v>
      </c>
      <c r="C125" s="18">
        <v>45049</v>
      </c>
      <c r="D125" s="17">
        <v>2300000000</v>
      </c>
      <c r="E125" s="17" t="s">
        <v>145</v>
      </c>
      <c r="F125" s="17">
        <v>75012200</v>
      </c>
      <c r="G125" s="17" t="s">
        <v>155</v>
      </c>
      <c r="H125" s="17" t="s">
        <v>77</v>
      </c>
      <c r="I125" s="17" t="s">
        <v>156</v>
      </c>
      <c r="J125" s="17">
        <v>2023</v>
      </c>
      <c r="K125" s="17">
        <v>7.5012200000000001E-2</v>
      </c>
    </row>
    <row r="126" spans="1:11" x14ac:dyDescent="0.2">
      <c r="A126" s="15" t="s">
        <v>154</v>
      </c>
      <c r="B126" s="15" t="s">
        <v>53</v>
      </c>
      <c r="C126" s="16">
        <v>45049</v>
      </c>
      <c r="D126" s="15">
        <v>5300000000</v>
      </c>
      <c r="E126" s="15" t="s">
        <v>145</v>
      </c>
      <c r="F126" s="15">
        <v>172854200</v>
      </c>
      <c r="G126" s="15" t="s">
        <v>155</v>
      </c>
      <c r="H126" s="15" t="s">
        <v>77</v>
      </c>
      <c r="I126" s="15" t="s">
        <v>156</v>
      </c>
      <c r="J126" s="15">
        <v>2023</v>
      </c>
      <c r="K126" s="15">
        <v>0.17285420000000001</v>
      </c>
    </row>
    <row r="127" spans="1:11" x14ac:dyDescent="0.2">
      <c r="A127" s="17" t="s">
        <v>154</v>
      </c>
      <c r="B127" s="17" t="s">
        <v>53</v>
      </c>
      <c r="C127" s="18">
        <v>45049</v>
      </c>
      <c r="D127" s="17">
        <v>13100000000</v>
      </c>
      <c r="E127" s="17" t="s">
        <v>145</v>
      </c>
      <c r="F127" s="17">
        <v>427243400</v>
      </c>
      <c r="G127" s="17" t="s">
        <v>155</v>
      </c>
      <c r="H127" s="17" t="s">
        <v>77</v>
      </c>
      <c r="I127" s="17" t="s">
        <v>156</v>
      </c>
      <c r="J127" s="17">
        <v>2023</v>
      </c>
      <c r="K127" s="17">
        <v>0.4272434</v>
      </c>
    </row>
    <row r="128" spans="1:11" x14ac:dyDescent="0.2">
      <c r="A128" s="15" t="s">
        <v>157</v>
      </c>
      <c r="B128" s="15" t="s">
        <v>68</v>
      </c>
      <c r="C128" s="16">
        <v>45406</v>
      </c>
      <c r="D128" s="15">
        <v>300000000</v>
      </c>
      <c r="E128" s="15" t="s">
        <v>59</v>
      </c>
      <c r="F128" s="15">
        <v>300000000</v>
      </c>
      <c r="G128" s="15" t="s">
        <v>114</v>
      </c>
      <c r="H128" s="15" t="s">
        <v>158</v>
      </c>
      <c r="I128" s="15" t="s">
        <v>159</v>
      </c>
      <c r="J128" s="15">
        <v>2024</v>
      </c>
      <c r="K128" s="15">
        <v>0.3</v>
      </c>
    </row>
    <row r="129" spans="1:11" x14ac:dyDescent="0.2">
      <c r="A129" s="17" t="s">
        <v>160</v>
      </c>
      <c r="B129" s="17" t="s">
        <v>53</v>
      </c>
      <c r="C129" s="18">
        <v>44769</v>
      </c>
      <c r="D129" s="17">
        <v>625000000</v>
      </c>
      <c r="E129" s="17" t="s">
        <v>59</v>
      </c>
      <c r="F129" s="17">
        <v>625000000</v>
      </c>
      <c r="G129" s="17" t="s">
        <v>105</v>
      </c>
      <c r="H129" s="17" t="s">
        <v>56</v>
      </c>
      <c r="I129" s="17" t="s">
        <v>161</v>
      </c>
      <c r="J129" s="17">
        <v>2022</v>
      </c>
      <c r="K129" s="17">
        <v>0.625</v>
      </c>
    </row>
    <row r="130" spans="1:11" x14ac:dyDescent="0.2">
      <c r="A130" s="15" t="s">
        <v>154</v>
      </c>
      <c r="B130" s="15" t="s">
        <v>53</v>
      </c>
      <c r="C130" s="16">
        <v>45429</v>
      </c>
      <c r="D130" s="15">
        <v>6600000000</v>
      </c>
      <c r="E130" s="15" t="s">
        <v>145</v>
      </c>
      <c r="F130" s="15">
        <v>205260000</v>
      </c>
      <c r="G130" s="15" t="s">
        <v>155</v>
      </c>
      <c r="H130" s="15" t="s">
        <v>77</v>
      </c>
      <c r="I130" s="15" t="s">
        <v>156</v>
      </c>
      <c r="J130" s="15">
        <v>2024</v>
      </c>
      <c r="K130" s="15">
        <v>0.20526</v>
      </c>
    </row>
    <row r="131" spans="1:11" x14ac:dyDescent="0.2">
      <c r="A131" s="17" t="s">
        <v>154</v>
      </c>
      <c r="B131" s="17" t="s">
        <v>53</v>
      </c>
      <c r="C131" s="18">
        <v>45429</v>
      </c>
      <c r="D131" s="17">
        <v>4900000000</v>
      </c>
      <c r="E131" s="17" t="s">
        <v>145</v>
      </c>
      <c r="F131" s="17">
        <v>152404700</v>
      </c>
      <c r="G131" s="17" t="s">
        <v>155</v>
      </c>
      <c r="H131" s="17" t="s">
        <v>77</v>
      </c>
      <c r="I131" s="17" t="s">
        <v>156</v>
      </c>
      <c r="J131" s="17">
        <v>2024</v>
      </c>
      <c r="K131" s="17">
        <v>0.1524047</v>
      </c>
    </row>
    <row r="132" spans="1:11" x14ac:dyDescent="0.2">
      <c r="A132" s="15" t="s">
        <v>154</v>
      </c>
      <c r="B132" s="15" t="s">
        <v>53</v>
      </c>
      <c r="C132" s="16">
        <v>45366</v>
      </c>
      <c r="D132" s="15">
        <v>10800000000</v>
      </c>
      <c r="E132" s="15" t="s">
        <v>145</v>
      </c>
      <c r="F132" s="15">
        <v>341571600</v>
      </c>
      <c r="G132" s="15" t="s">
        <v>155</v>
      </c>
      <c r="H132" s="15" t="s">
        <v>77</v>
      </c>
      <c r="I132" s="15" t="s">
        <v>156</v>
      </c>
      <c r="J132" s="15">
        <v>2024</v>
      </c>
      <c r="K132" s="15">
        <v>0.34157159999999998</v>
      </c>
    </row>
    <row r="133" spans="1:11" x14ac:dyDescent="0.2">
      <c r="A133" s="17" t="s">
        <v>154</v>
      </c>
      <c r="B133" s="17" t="s">
        <v>53</v>
      </c>
      <c r="C133" s="18">
        <v>45366</v>
      </c>
      <c r="D133" s="17">
        <v>12000000000</v>
      </c>
      <c r="E133" s="17" t="s">
        <v>145</v>
      </c>
      <c r="F133" s="17">
        <v>379524000</v>
      </c>
      <c r="G133" s="17" t="s">
        <v>155</v>
      </c>
      <c r="H133" s="17" t="s">
        <v>77</v>
      </c>
      <c r="I133" s="17" t="s">
        <v>156</v>
      </c>
      <c r="J133" s="17">
        <v>2024</v>
      </c>
      <c r="K133" s="17">
        <v>0.37952399999999997</v>
      </c>
    </row>
    <row r="134" spans="1:11" x14ac:dyDescent="0.2">
      <c r="A134" s="15" t="s">
        <v>154</v>
      </c>
      <c r="B134" s="15" t="s">
        <v>53</v>
      </c>
      <c r="C134" s="16">
        <v>45013</v>
      </c>
      <c r="D134" s="15">
        <v>4800000000</v>
      </c>
      <c r="E134" s="15" t="s">
        <v>145</v>
      </c>
      <c r="F134" s="15">
        <v>158208000</v>
      </c>
      <c r="G134" s="15" t="s">
        <v>155</v>
      </c>
      <c r="H134" s="15" t="s">
        <v>77</v>
      </c>
      <c r="I134" s="15" t="s">
        <v>156</v>
      </c>
      <c r="J134" s="15">
        <v>2023</v>
      </c>
      <c r="K134" s="15">
        <v>0.15820799999999999</v>
      </c>
    </row>
    <row r="135" spans="1:11" x14ac:dyDescent="0.2">
      <c r="A135" s="17" t="s">
        <v>154</v>
      </c>
      <c r="B135" s="17" t="s">
        <v>53</v>
      </c>
      <c r="C135" s="18">
        <v>45013</v>
      </c>
      <c r="D135" s="17">
        <v>2300000000</v>
      </c>
      <c r="E135" s="17" t="s">
        <v>145</v>
      </c>
      <c r="F135" s="17">
        <v>75808000</v>
      </c>
      <c r="G135" s="17" t="s">
        <v>155</v>
      </c>
      <c r="H135" s="17" t="s">
        <v>77</v>
      </c>
      <c r="I135" s="17" t="s">
        <v>156</v>
      </c>
      <c r="J135" s="17">
        <v>2023</v>
      </c>
      <c r="K135" s="17">
        <v>7.5808E-2</v>
      </c>
    </row>
    <row r="136" spans="1:11" x14ac:dyDescent="0.2">
      <c r="A136" s="15" t="s">
        <v>154</v>
      </c>
      <c r="B136" s="15" t="s">
        <v>53</v>
      </c>
      <c r="C136" s="16">
        <v>45013</v>
      </c>
      <c r="D136" s="15">
        <v>12200000000</v>
      </c>
      <c r="E136" s="15" t="s">
        <v>145</v>
      </c>
      <c r="F136" s="15">
        <v>402124200</v>
      </c>
      <c r="G136" s="15" t="s">
        <v>155</v>
      </c>
      <c r="H136" s="15" t="s">
        <v>77</v>
      </c>
      <c r="I136" s="15" t="s">
        <v>156</v>
      </c>
      <c r="J136" s="15">
        <v>2023</v>
      </c>
      <c r="K136" s="15">
        <v>0.40212419999999999</v>
      </c>
    </row>
    <row r="137" spans="1:11" x14ac:dyDescent="0.2">
      <c r="A137" s="17" t="s">
        <v>154</v>
      </c>
      <c r="B137" s="17" t="s">
        <v>53</v>
      </c>
      <c r="C137" s="18">
        <v>44854</v>
      </c>
      <c r="D137" s="17">
        <v>3500000000</v>
      </c>
      <c r="E137" s="17" t="s">
        <v>145</v>
      </c>
      <c r="F137" s="17">
        <v>109105850</v>
      </c>
      <c r="G137" s="17" t="s">
        <v>155</v>
      </c>
      <c r="H137" s="17" t="s">
        <v>77</v>
      </c>
      <c r="I137" s="17" t="s">
        <v>156</v>
      </c>
      <c r="J137" s="17">
        <v>2022</v>
      </c>
      <c r="K137" s="17">
        <v>0.10910585</v>
      </c>
    </row>
    <row r="138" spans="1:11" x14ac:dyDescent="0.2">
      <c r="A138" s="15" t="s">
        <v>154</v>
      </c>
      <c r="B138" s="15" t="s">
        <v>53</v>
      </c>
      <c r="C138" s="16">
        <v>44854</v>
      </c>
      <c r="D138" s="15">
        <v>1000000000</v>
      </c>
      <c r="E138" s="15" t="s">
        <v>145</v>
      </c>
      <c r="F138" s="15">
        <v>31173100</v>
      </c>
      <c r="G138" s="15" t="s">
        <v>155</v>
      </c>
      <c r="H138" s="15" t="s">
        <v>77</v>
      </c>
      <c r="I138" s="15" t="s">
        <v>156</v>
      </c>
      <c r="J138" s="15">
        <v>2022</v>
      </c>
      <c r="K138" s="15">
        <v>3.1173099999999999E-2</v>
      </c>
    </row>
    <row r="139" spans="1:11" x14ac:dyDescent="0.2">
      <c r="A139" s="17" t="s">
        <v>154</v>
      </c>
      <c r="B139" s="17" t="s">
        <v>53</v>
      </c>
      <c r="C139" s="18">
        <v>44854</v>
      </c>
      <c r="D139" s="17">
        <v>5700000000</v>
      </c>
      <c r="E139" s="17" t="s">
        <v>145</v>
      </c>
      <c r="F139" s="17">
        <v>177686670</v>
      </c>
      <c r="G139" s="17" t="s">
        <v>155</v>
      </c>
      <c r="H139" s="17" t="s">
        <v>77</v>
      </c>
      <c r="I139" s="17" t="s">
        <v>156</v>
      </c>
      <c r="J139" s="17">
        <v>2022</v>
      </c>
      <c r="K139" s="17">
        <v>0.17768666999999999</v>
      </c>
    </row>
    <row r="140" spans="1:11" x14ac:dyDescent="0.2">
      <c r="A140" s="15" t="s">
        <v>154</v>
      </c>
      <c r="B140" s="15" t="s">
        <v>53</v>
      </c>
      <c r="C140" s="16">
        <v>44772</v>
      </c>
      <c r="D140" s="15">
        <v>1400000000</v>
      </c>
      <c r="E140" s="15" t="s">
        <v>145</v>
      </c>
      <c r="F140" s="15">
        <v>46648000</v>
      </c>
      <c r="G140" s="15" t="s">
        <v>155</v>
      </c>
      <c r="H140" s="15" t="s">
        <v>77</v>
      </c>
      <c r="I140" s="15" t="s">
        <v>156</v>
      </c>
      <c r="J140" s="15">
        <v>2022</v>
      </c>
      <c r="K140" s="15">
        <v>4.6648000000000002E-2</v>
      </c>
    </row>
    <row r="141" spans="1:11" x14ac:dyDescent="0.2">
      <c r="A141" s="17" t="s">
        <v>154</v>
      </c>
      <c r="B141" s="17" t="s">
        <v>53</v>
      </c>
      <c r="C141" s="18">
        <v>44771</v>
      </c>
      <c r="D141" s="17">
        <v>1200000000</v>
      </c>
      <c r="E141" s="17" t="s">
        <v>145</v>
      </c>
      <c r="F141" s="17">
        <v>39984000</v>
      </c>
      <c r="G141" s="17" t="s">
        <v>155</v>
      </c>
      <c r="H141" s="17" t="s">
        <v>77</v>
      </c>
      <c r="I141" s="17" t="s">
        <v>156</v>
      </c>
      <c r="J141" s="17">
        <v>2022</v>
      </c>
      <c r="K141" s="17">
        <v>3.9983999999999999E-2</v>
      </c>
    </row>
    <row r="142" spans="1:11" x14ac:dyDescent="0.2">
      <c r="A142" s="15" t="s">
        <v>154</v>
      </c>
      <c r="B142" s="15" t="s">
        <v>53</v>
      </c>
      <c r="C142" s="16">
        <v>44770</v>
      </c>
      <c r="D142" s="15">
        <v>10100000000</v>
      </c>
      <c r="E142" s="15" t="s">
        <v>145</v>
      </c>
      <c r="F142" s="15">
        <v>337612700</v>
      </c>
      <c r="G142" s="15" t="s">
        <v>155</v>
      </c>
      <c r="H142" s="15" t="s">
        <v>77</v>
      </c>
      <c r="I142" s="15" t="s">
        <v>156</v>
      </c>
      <c r="J142" s="15">
        <v>2022</v>
      </c>
      <c r="K142" s="15">
        <v>0.33761269999999999</v>
      </c>
    </row>
    <row r="143" spans="1:11" x14ac:dyDescent="0.2">
      <c r="A143" s="17" t="s">
        <v>154</v>
      </c>
      <c r="B143" s="17" t="s">
        <v>53</v>
      </c>
      <c r="C143" s="18">
        <v>44769</v>
      </c>
      <c r="D143" s="17">
        <v>1200000000</v>
      </c>
      <c r="E143" s="17" t="s">
        <v>145</v>
      </c>
      <c r="F143" s="17">
        <v>40168800</v>
      </c>
      <c r="G143" s="17" t="s">
        <v>155</v>
      </c>
      <c r="H143" s="17" t="s">
        <v>77</v>
      </c>
      <c r="I143" s="17" t="s">
        <v>156</v>
      </c>
      <c r="J143" s="17">
        <v>2022</v>
      </c>
      <c r="K143" s="17">
        <v>4.0168799999999998E-2</v>
      </c>
    </row>
    <row r="144" spans="1:11" x14ac:dyDescent="0.2">
      <c r="A144" s="15" t="s">
        <v>154</v>
      </c>
      <c r="B144" s="15" t="s">
        <v>53</v>
      </c>
      <c r="C144" s="16">
        <v>44573</v>
      </c>
      <c r="D144" s="15">
        <v>3100000000</v>
      </c>
      <c r="E144" s="15" t="s">
        <v>145</v>
      </c>
      <c r="F144" s="15">
        <v>111928290</v>
      </c>
      <c r="G144" s="15" t="s">
        <v>155</v>
      </c>
      <c r="H144" s="15" t="s">
        <v>77</v>
      </c>
      <c r="I144" s="15" t="s">
        <v>156</v>
      </c>
      <c r="J144" s="15">
        <v>2022</v>
      </c>
      <c r="K144" s="15">
        <v>0.11192829</v>
      </c>
    </row>
    <row r="145" spans="1:11" x14ac:dyDescent="0.2">
      <c r="A145" s="17" t="s">
        <v>154</v>
      </c>
      <c r="B145" s="17" t="s">
        <v>53</v>
      </c>
      <c r="C145" s="18">
        <v>44573</v>
      </c>
      <c r="D145" s="17">
        <v>2100000000</v>
      </c>
      <c r="E145" s="17" t="s">
        <v>145</v>
      </c>
      <c r="F145" s="17">
        <v>75822390</v>
      </c>
      <c r="G145" s="17" t="s">
        <v>155</v>
      </c>
      <c r="H145" s="17" t="s">
        <v>77</v>
      </c>
      <c r="I145" s="17" t="s">
        <v>156</v>
      </c>
      <c r="J145" s="17">
        <v>2022</v>
      </c>
      <c r="K145" s="17">
        <v>7.5822390000000003E-2</v>
      </c>
    </row>
    <row r="146" spans="1:11" x14ac:dyDescent="0.2">
      <c r="A146" s="15" t="s">
        <v>162</v>
      </c>
      <c r="B146" s="15" t="s">
        <v>53</v>
      </c>
      <c r="C146" s="16">
        <v>45358</v>
      </c>
      <c r="D146" s="15">
        <v>10000000000</v>
      </c>
      <c r="E146" s="15" t="s">
        <v>163</v>
      </c>
      <c r="F146" s="15">
        <v>66420000</v>
      </c>
      <c r="G146" s="15" t="s">
        <v>164</v>
      </c>
      <c r="H146" s="15" t="s">
        <v>77</v>
      </c>
      <c r="I146" s="15" t="s">
        <v>165</v>
      </c>
      <c r="J146" s="15">
        <v>2024</v>
      </c>
      <c r="K146" s="15">
        <v>6.6420000000000007E-2</v>
      </c>
    </row>
    <row r="147" spans="1:11" x14ac:dyDescent="0.2">
      <c r="A147" s="17" t="s">
        <v>154</v>
      </c>
      <c r="B147" s="17" t="s">
        <v>53</v>
      </c>
      <c r="C147" s="18">
        <v>44701</v>
      </c>
      <c r="D147" s="17">
        <v>6100000000</v>
      </c>
      <c r="E147" s="17" t="s">
        <v>145</v>
      </c>
      <c r="F147" s="17">
        <v>205082000</v>
      </c>
      <c r="G147" s="17" t="s">
        <v>155</v>
      </c>
      <c r="H147" s="17" t="s">
        <v>77</v>
      </c>
      <c r="I147" s="17" t="s">
        <v>156</v>
      </c>
      <c r="J147" s="17">
        <v>2022</v>
      </c>
      <c r="K147" s="17">
        <v>0.20508199999999999</v>
      </c>
    </row>
    <row r="148" spans="1:11" x14ac:dyDescent="0.2">
      <c r="A148" s="15" t="s">
        <v>166</v>
      </c>
      <c r="B148" s="15" t="s">
        <v>53</v>
      </c>
      <c r="C148" s="16">
        <v>44980</v>
      </c>
      <c r="D148" s="15">
        <v>12994000</v>
      </c>
      <c r="E148" s="15" t="s">
        <v>59</v>
      </c>
      <c r="F148" s="15">
        <v>12994000</v>
      </c>
      <c r="G148" s="15" t="s">
        <v>64</v>
      </c>
      <c r="H148" s="15" t="s">
        <v>56</v>
      </c>
      <c r="I148" s="15" t="s">
        <v>167</v>
      </c>
      <c r="J148" s="15">
        <v>2023</v>
      </c>
      <c r="K148" s="15">
        <v>1.2994E-2</v>
      </c>
    </row>
    <row r="149" spans="1:11" x14ac:dyDescent="0.2">
      <c r="A149" s="17" t="s">
        <v>166</v>
      </c>
      <c r="B149" s="17" t="s">
        <v>53</v>
      </c>
      <c r="C149" s="18">
        <v>44980</v>
      </c>
      <c r="D149" s="17">
        <v>17759000</v>
      </c>
      <c r="E149" s="17" t="s">
        <v>59</v>
      </c>
      <c r="F149" s="17">
        <v>17759000</v>
      </c>
      <c r="G149" s="17" t="s">
        <v>64</v>
      </c>
      <c r="H149" s="17" t="s">
        <v>56</v>
      </c>
      <c r="I149" s="17" t="s">
        <v>167</v>
      </c>
      <c r="J149" s="17">
        <v>2023</v>
      </c>
      <c r="K149" s="17">
        <v>1.7759E-2</v>
      </c>
    </row>
    <row r="150" spans="1:11" x14ac:dyDescent="0.2">
      <c r="A150" s="15" t="s">
        <v>166</v>
      </c>
      <c r="B150" s="15" t="s">
        <v>53</v>
      </c>
      <c r="C150" s="16">
        <v>44980</v>
      </c>
      <c r="D150" s="15">
        <v>240830000</v>
      </c>
      <c r="E150" s="15" t="s">
        <v>59</v>
      </c>
      <c r="F150" s="15">
        <v>240830000</v>
      </c>
      <c r="G150" s="15" t="s">
        <v>64</v>
      </c>
      <c r="H150" s="15" t="s">
        <v>56</v>
      </c>
      <c r="I150" s="15" t="s">
        <v>167</v>
      </c>
      <c r="J150" s="15">
        <v>2023</v>
      </c>
      <c r="K150" s="15">
        <v>0.24082999999999999</v>
      </c>
    </row>
    <row r="151" spans="1:11" x14ac:dyDescent="0.2">
      <c r="A151" s="17" t="s">
        <v>166</v>
      </c>
      <c r="B151" s="17" t="s">
        <v>53</v>
      </c>
      <c r="C151" s="18">
        <v>45288</v>
      </c>
      <c r="D151" s="17">
        <v>13700000</v>
      </c>
      <c r="E151" s="17" t="s">
        <v>59</v>
      </c>
      <c r="F151" s="17">
        <v>13700000</v>
      </c>
      <c r="G151" s="17" t="s">
        <v>64</v>
      </c>
      <c r="H151" s="17" t="s">
        <v>56</v>
      </c>
      <c r="I151" s="17" t="s">
        <v>167</v>
      </c>
      <c r="J151" s="17">
        <v>2023</v>
      </c>
      <c r="K151" s="17">
        <v>1.37E-2</v>
      </c>
    </row>
    <row r="152" spans="1:11" x14ac:dyDescent="0.2">
      <c r="A152" s="15" t="s">
        <v>166</v>
      </c>
      <c r="B152" s="15" t="s">
        <v>53</v>
      </c>
      <c r="C152" s="16">
        <v>45288</v>
      </c>
      <c r="D152" s="15">
        <v>18200000</v>
      </c>
      <c r="E152" s="15" t="s">
        <v>59</v>
      </c>
      <c r="F152" s="15">
        <v>18200000</v>
      </c>
      <c r="G152" s="15" t="s">
        <v>64</v>
      </c>
      <c r="H152" s="15" t="s">
        <v>56</v>
      </c>
      <c r="I152" s="15" t="s">
        <v>167</v>
      </c>
      <c r="J152" s="15">
        <v>2023</v>
      </c>
      <c r="K152" s="15">
        <v>1.8200000000000001E-2</v>
      </c>
    </row>
    <row r="153" spans="1:11" x14ac:dyDescent="0.2">
      <c r="A153" s="17" t="s">
        <v>166</v>
      </c>
      <c r="B153" s="17" t="s">
        <v>53</v>
      </c>
      <c r="C153" s="18">
        <v>45288</v>
      </c>
      <c r="D153" s="17">
        <v>228300000</v>
      </c>
      <c r="E153" s="17" t="s">
        <v>59</v>
      </c>
      <c r="F153" s="17">
        <v>228300000</v>
      </c>
      <c r="G153" s="17" t="s">
        <v>64</v>
      </c>
      <c r="H153" s="17" t="s">
        <v>56</v>
      </c>
      <c r="I153" s="17" t="s">
        <v>167</v>
      </c>
      <c r="J153" s="17">
        <v>2023</v>
      </c>
      <c r="K153" s="17">
        <v>0.2283</v>
      </c>
    </row>
    <row r="154" spans="1:11" x14ac:dyDescent="0.2">
      <c r="A154" s="15" t="s">
        <v>166</v>
      </c>
      <c r="B154" s="15" t="s">
        <v>53</v>
      </c>
      <c r="C154" s="16">
        <v>45288</v>
      </c>
      <c r="D154" s="15">
        <v>92780000</v>
      </c>
      <c r="E154" s="15" t="s">
        <v>59</v>
      </c>
      <c r="F154" s="15">
        <v>92780000</v>
      </c>
      <c r="G154" s="15" t="s">
        <v>64</v>
      </c>
      <c r="H154" s="15" t="s">
        <v>56</v>
      </c>
      <c r="I154" s="15" t="s">
        <v>167</v>
      </c>
      <c r="J154" s="15">
        <v>2023</v>
      </c>
      <c r="K154" s="15">
        <v>9.2780000000000001E-2</v>
      </c>
    </row>
    <row r="155" spans="1:11" x14ac:dyDescent="0.2">
      <c r="A155" s="17" t="s">
        <v>166</v>
      </c>
      <c r="B155" s="17" t="s">
        <v>53</v>
      </c>
      <c r="C155" s="18">
        <v>44783</v>
      </c>
      <c r="D155" s="17">
        <v>41700000</v>
      </c>
      <c r="E155" s="17" t="s">
        <v>59</v>
      </c>
      <c r="F155" s="17">
        <v>41700000</v>
      </c>
      <c r="G155" s="17" t="s">
        <v>64</v>
      </c>
      <c r="H155" s="17" t="s">
        <v>56</v>
      </c>
      <c r="I155" s="17" t="s">
        <v>167</v>
      </c>
      <c r="J155" s="17">
        <v>2022</v>
      </c>
      <c r="K155" s="17">
        <v>4.1700000000000001E-2</v>
      </c>
    </row>
    <row r="156" spans="1:11" x14ac:dyDescent="0.2">
      <c r="A156" s="15" t="s">
        <v>166</v>
      </c>
      <c r="B156" s="15" t="s">
        <v>53</v>
      </c>
      <c r="C156" s="16">
        <v>44783</v>
      </c>
      <c r="D156" s="15">
        <v>27646000</v>
      </c>
      <c r="E156" s="15" t="s">
        <v>59</v>
      </c>
      <c r="F156" s="15">
        <v>27646000</v>
      </c>
      <c r="G156" s="15" t="s">
        <v>64</v>
      </c>
      <c r="H156" s="15" t="s">
        <v>56</v>
      </c>
      <c r="I156" s="15" t="s">
        <v>167</v>
      </c>
      <c r="J156" s="15">
        <v>2022</v>
      </c>
      <c r="K156" s="15">
        <v>2.7646E-2</v>
      </c>
    </row>
    <row r="157" spans="1:11" x14ac:dyDescent="0.2">
      <c r="A157" s="17" t="s">
        <v>166</v>
      </c>
      <c r="B157" s="17" t="s">
        <v>53</v>
      </c>
      <c r="C157" s="18">
        <v>44783</v>
      </c>
      <c r="D157" s="17">
        <v>25918000</v>
      </c>
      <c r="E157" s="17" t="s">
        <v>59</v>
      </c>
      <c r="F157" s="17">
        <v>25918000</v>
      </c>
      <c r="G157" s="17" t="s">
        <v>64</v>
      </c>
      <c r="H157" s="17" t="s">
        <v>56</v>
      </c>
      <c r="I157" s="17" t="s">
        <v>167</v>
      </c>
      <c r="J157" s="17">
        <v>2022</v>
      </c>
      <c r="K157" s="17">
        <v>2.5918E-2</v>
      </c>
    </row>
    <row r="158" spans="1:11" x14ac:dyDescent="0.2">
      <c r="A158" s="15" t="s">
        <v>166</v>
      </c>
      <c r="B158" s="15" t="s">
        <v>53</v>
      </c>
      <c r="C158" s="16">
        <v>44783</v>
      </c>
      <c r="D158" s="15">
        <v>301881000</v>
      </c>
      <c r="E158" s="15" t="s">
        <v>59</v>
      </c>
      <c r="F158" s="15">
        <v>301881000</v>
      </c>
      <c r="G158" s="15" t="s">
        <v>64</v>
      </c>
      <c r="H158" s="15" t="s">
        <v>56</v>
      </c>
      <c r="I158" s="15" t="s">
        <v>167</v>
      </c>
      <c r="J158" s="15">
        <v>2022</v>
      </c>
      <c r="K158" s="15">
        <v>0.30188100000000001</v>
      </c>
    </row>
    <row r="159" spans="1:11" x14ac:dyDescent="0.2">
      <c r="A159" s="17" t="s">
        <v>166</v>
      </c>
      <c r="B159" s="17" t="s">
        <v>53</v>
      </c>
      <c r="C159" s="18">
        <v>44692</v>
      </c>
      <c r="D159" s="17">
        <v>44300000</v>
      </c>
      <c r="E159" s="17" t="s">
        <v>59</v>
      </c>
      <c r="F159" s="17">
        <v>44300000</v>
      </c>
      <c r="G159" s="17" t="s">
        <v>64</v>
      </c>
      <c r="H159" s="17" t="s">
        <v>56</v>
      </c>
      <c r="I159" s="17" t="s">
        <v>167</v>
      </c>
      <c r="J159" s="17">
        <v>2022</v>
      </c>
      <c r="K159" s="17">
        <v>4.4299999999999999E-2</v>
      </c>
    </row>
    <row r="160" spans="1:11" x14ac:dyDescent="0.2">
      <c r="A160" s="15" t="s">
        <v>166</v>
      </c>
      <c r="B160" s="15" t="s">
        <v>53</v>
      </c>
      <c r="C160" s="16">
        <v>44692</v>
      </c>
      <c r="D160" s="15">
        <v>28980000</v>
      </c>
      <c r="E160" s="15" t="s">
        <v>59</v>
      </c>
      <c r="F160" s="15">
        <v>28980000</v>
      </c>
      <c r="G160" s="15" t="s">
        <v>64</v>
      </c>
      <c r="H160" s="15" t="s">
        <v>56</v>
      </c>
      <c r="I160" s="15" t="s">
        <v>167</v>
      </c>
      <c r="J160" s="15">
        <v>2022</v>
      </c>
      <c r="K160" s="15">
        <v>2.8979999999999999E-2</v>
      </c>
    </row>
    <row r="161" spans="1:11" x14ac:dyDescent="0.2">
      <c r="A161" s="17" t="s">
        <v>166</v>
      </c>
      <c r="B161" s="17" t="s">
        <v>53</v>
      </c>
      <c r="C161" s="18">
        <v>44692</v>
      </c>
      <c r="D161" s="17">
        <v>30382000</v>
      </c>
      <c r="E161" s="17" t="s">
        <v>59</v>
      </c>
      <c r="F161" s="17">
        <v>30382000</v>
      </c>
      <c r="G161" s="17" t="s">
        <v>64</v>
      </c>
      <c r="H161" s="17" t="s">
        <v>56</v>
      </c>
      <c r="I161" s="17" t="s">
        <v>167</v>
      </c>
      <c r="J161" s="17">
        <v>2022</v>
      </c>
      <c r="K161" s="17">
        <v>3.0381999999999999E-2</v>
      </c>
    </row>
    <row r="162" spans="1:11" x14ac:dyDescent="0.2">
      <c r="A162" s="15" t="s">
        <v>166</v>
      </c>
      <c r="B162" s="15" t="s">
        <v>53</v>
      </c>
      <c r="C162" s="16">
        <v>44692</v>
      </c>
      <c r="D162" s="15">
        <v>299611000</v>
      </c>
      <c r="E162" s="15" t="s">
        <v>59</v>
      </c>
      <c r="F162" s="15">
        <v>299611000</v>
      </c>
      <c r="G162" s="15" t="s">
        <v>64</v>
      </c>
      <c r="H162" s="15" t="s">
        <v>56</v>
      </c>
      <c r="I162" s="15" t="s">
        <v>167</v>
      </c>
      <c r="J162" s="15">
        <v>2022</v>
      </c>
      <c r="K162" s="15">
        <v>0.29961100000000002</v>
      </c>
    </row>
    <row r="163" spans="1:11" x14ac:dyDescent="0.2">
      <c r="A163" s="17" t="s">
        <v>166</v>
      </c>
      <c r="B163" s="17" t="s">
        <v>53</v>
      </c>
      <c r="C163" s="18">
        <v>44875</v>
      </c>
      <c r="D163" s="17">
        <v>40900000</v>
      </c>
      <c r="E163" s="17" t="s">
        <v>59</v>
      </c>
      <c r="F163" s="17">
        <v>40900000</v>
      </c>
      <c r="G163" s="17" t="s">
        <v>64</v>
      </c>
      <c r="H163" s="17" t="s">
        <v>56</v>
      </c>
      <c r="I163" s="17" t="s">
        <v>167</v>
      </c>
      <c r="J163" s="17">
        <v>2022</v>
      </c>
      <c r="K163" s="17">
        <v>4.0899999999999999E-2</v>
      </c>
    </row>
    <row r="164" spans="1:11" x14ac:dyDescent="0.2">
      <c r="A164" s="15" t="s">
        <v>166</v>
      </c>
      <c r="B164" s="15" t="s">
        <v>53</v>
      </c>
      <c r="C164" s="16">
        <v>44875</v>
      </c>
      <c r="D164" s="15">
        <v>16780000</v>
      </c>
      <c r="E164" s="15" t="s">
        <v>59</v>
      </c>
      <c r="F164" s="15">
        <v>16780000</v>
      </c>
      <c r="G164" s="15" t="s">
        <v>64</v>
      </c>
      <c r="H164" s="15" t="s">
        <v>56</v>
      </c>
      <c r="I164" s="15" t="s">
        <v>167</v>
      </c>
      <c r="J164" s="15">
        <v>2022</v>
      </c>
      <c r="K164" s="15">
        <v>1.678E-2</v>
      </c>
    </row>
    <row r="165" spans="1:11" x14ac:dyDescent="0.2">
      <c r="A165" s="17" t="s">
        <v>166</v>
      </c>
      <c r="B165" s="17" t="s">
        <v>53</v>
      </c>
      <c r="C165" s="18">
        <v>44875</v>
      </c>
      <c r="D165" s="17">
        <v>14828000</v>
      </c>
      <c r="E165" s="17" t="s">
        <v>59</v>
      </c>
      <c r="F165" s="17">
        <v>14828000</v>
      </c>
      <c r="G165" s="17" t="s">
        <v>64</v>
      </c>
      <c r="H165" s="17" t="s">
        <v>56</v>
      </c>
      <c r="I165" s="17" t="s">
        <v>167</v>
      </c>
      <c r="J165" s="17">
        <v>2022</v>
      </c>
      <c r="K165" s="17">
        <v>1.4827999999999999E-2</v>
      </c>
    </row>
    <row r="166" spans="1:11" x14ac:dyDescent="0.2">
      <c r="A166" s="15" t="s">
        <v>166</v>
      </c>
      <c r="B166" s="15" t="s">
        <v>53</v>
      </c>
      <c r="C166" s="16">
        <v>44875</v>
      </c>
      <c r="D166" s="15">
        <v>239778000</v>
      </c>
      <c r="E166" s="15" t="s">
        <v>59</v>
      </c>
      <c r="F166" s="15">
        <v>239778000</v>
      </c>
      <c r="G166" s="15" t="s">
        <v>64</v>
      </c>
      <c r="H166" s="15" t="s">
        <v>56</v>
      </c>
      <c r="I166" s="15" t="s">
        <v>167</v>
      </c>
      <c r="J166" s="15">
        <v>2022</v>
      </c>
      <c r="K166" s="15">
        <v>0.23977799999999999</v>
      </c>
    </row>
    <row r="167" spans="1:11" x14ac:dyDescent="0.2">
      <c r="A167" s="17" t="s">
        <v>168</v>
      </c>
      <c r="B167" s="17" t="s">
        <v>53</v>
      </c>
      <c r="C167" s="18">
        <v>45168</v>
      </c>
      <c r="D167" s="17">
        <v>132500000</v>
      </c>
      <c r="E167" s="17" t="s">
        <v>59</v>
      </c>
      <c r="F167" s="17">
        <v>132500000</v>
      </c>
      <c r="G167" s="17" t="s">
        <v>64</v>
      </c>
      <c r="H167" s="17" t="s">
        <v>56</v>
      </c>
      <c r="I167" s="17" t="s">
        <v>169</v>
      </c>
      <c r="J167" s="17">
        <v>2023</v>
      </c>
      <c r="K167" s="17">
        <v>0.13250000000000001</v>
      </c>
    </row>
    <row r="168" spans="1:11" x14ac:dyDescent="0.2">
      <c r="A168" s="15" t="s">
        <v>168</v>
      </c>
      <c r="B168" s="15" t="s">
        <v>53</v>
      </c>
      <c r="C168" s="16">
        <v>45168</v>
      </c>
      <c r="D168" s="15">
        <v>23252000</v>
      </c>
      <c r="E168" s="15" t="s">
        <v>59</v>
      </c>
      <c r="F168" s="15">
        <v>23252000</v>
      </c>
      <c r="G168" s="15" t="s">
        <v>64</v>
      </c>
      <c r="H168" s="15" t="s">
        <v>56</v>
      </c>
      <c r="I168" s="15" t="s">
        <v>169</v>
      </c>
      <c r="J168" s="15">
        <v>2023</v>
      </c>
      <c r="K168" s="15">
        <v>2.3251999999999998E-2</v>
      </c>
    </row>
    <row r="169" spans="1:11" x14ac:dyDescent="0.2">
      <c r="A169" s="17" t="s">
        <v>168</v>
      </c>
      <c r="B169" s="17" t="s">
        <v>53</v>
      </c>
      <c r="C169" s="18">
        <v>45168</v>
      </c>
      <c r="D169" s="17">
        <v>26249000</v>
      </c>
      <c r="E169" s="17" t="s">
        <v>59</v>
      </c>
      <c r="F169" s="17">
        <v>26249000</v>
      </c>
      <c r="G169" s="17" t="s">
        <v>64</v>
      </c>
      <c r="H169" s="17" t="s">
        <v>56</v>
      </c>
      <c r="I169" s="17" t="s">
        <v>169</v>
      </c>
      <c r="J169" s="17">
        <v>2023</v>
      </c>
      <c r="K169" s="17">
        <v>2.6249000000000001E-2</v>
      </c>
    </row>
    <row r="170" spans="1:11" x14ac:dyDescent="0.2">
      <c r="A170" s="15" t="s">
        <v>168</v>
      </c>
      <c r="B170" s="15" t="s">
        <v>53</v>
      </c>
      <c r="C170" s="16">
        <v>45168</v>
      </c>
      <c r="D170" s="15">
        <v>265124000</v>
      </c>
      <c r="E170" s="15" t="s">
        <v>59</v>
      </c>
      <c r="F170" s="15">
        <v>265124000</v>
      </c>
      <c r="G170" s="15" t="s">
        <v>64</v>
      </c>
      <c r="H170" s="15" t="s">
        <v>56</v>
      </c>
      <c r="I170" s="15" t="s">
        <v>169</v>
      </c>
      <c r="J170" s="15">
        <v>2023</v>
      </c>
      <c r="K170" s="15">
        <v>0.26512400000000003</v>
      </c>
    </row>
    <row r="171" spans="1:11" x14ac:dyDescent="0.2">
      <c r="A171" s="17" t="s">
        <v>166</v>
      </c>
      <c r="B171" s="17" t="s">
        <v>53</v>
      </c>
      <c r="C171" s="18">
        <v>45455</v>
      </c>
      <c r="D171" s="17">
        <v>12284000</v>
      </c>
      <c r="E171" s="17" t="s">
        <v>59</v>
      </c>
      <c r="F171" s="17">
        <v>12284000</v>
      </c>
      <c r="G171" s="17" t="s">
        <v>64</v>
      </c>
      <c r="H171" s="17" t="s">
        <v>56</v>
      </c>
      <c r="I171" s="17" t="s">
        <v>167</v>
      </c>
      <c r="J171" s="17">
        <v>2024</v>
      </c>
      <c r="K171" s="17">
        <v>1.2284E-2</v>
      </c>
    </row>
    <row r="172" spans="1:11" x14ac:dyDescent="0.2">
      <c r="A172" s="15" t="s">
        <v>166</v>
      </c>
      <c r="B172" s="15" t="s">
        <v>53</v>
      </c>
      <c r="C172" s="16">
        <v>45455</v>
      </c>
      <c r="D172" s="15">
        <v>11988000</v>
      </c>
      <c r="E172" s="15" t="s">
        <v>59</v>
      </c>
      <c r="F172" s="15">
        <v>11988000</v>
      </c>
      <c r="G172" s="15" t="s">
        <v>64</v>
      </c>
      <c r="H172" s="15" t="s">
        <v>56</v>
      </c>
      <c r="I172" s="15" t="s">
        <v>167</v>
      </c>
      <c r="J172" s="15">
        <v>2024</v>
      </c>
      <c r="K172" s="15">
        <v>1.1988E-2</v>
      </c>
    </row>
    <row r="173" spans="1:11" x14ac:dyDescent="0.2">
      <c r="A173" s="17" t="s">
        <v>166</v>
      </c>
      <c r="B173" s="17" t="s">
        <v>53</v>
      </c>
      <c r="C173" s="18">
        <v>45455</v>
      </c>
      <c r="D173" s="17">
        <v>197137000</v>
      </c>
      <c r="E173" s="17" t="s">
        <v>59</v>
      </c>
      <c r="F173" s="17">
        <v>197137000</v>
      </c>
      <c r="G173" s="17" t="s">
        <v>64</v>
      </c>
      <c r="H173" s="17" t="s">
        <v>56</v>
      </c>
      <c r="I173" s="17" t="s">
        <v>167</v>
      </c>
      <c r="J173" s="17">
        <v>2024</v>
      </c>
      <c r="K173" s="17">
        <v>0.19713700000000001</v>
      </c>
    </row>
    <row r="174" spans="1:11" x14ac:dyDescent="0.2">
      <c r="A174" s="15" t="s">
        <v>166</v>
      </c>
      <c r="B174" s="15" t="s">
        <v>53</v>
      </c>
      <c r="C174" s="16">
        <v>45085</v>
      </c>
      <c r="D174" s="15">
        <v>154200000</v>
      </c>
      <c r="E174" s="15" t="s">
        <v>59</v>
      </c>
      <c r="F174" s="15">
        <v>154200000</v>
      </c>
      <c r="G174" s="15" t="s">
        <v>64</v>
      </c>
      <c r="H174" s="15" t="s">
        <v>56</v>
      </c>
      <c r="I174" s="15" t="s">
        <v>167</v>
      </c>
      <c r="J174" s="15">
        <v>2023</v>
      </c>
      <c r="K174" s="15">
        <v>0.1542</v>
      </c>
    </row>
    <row r="175" spans="1:11" x14ac:dyDescent="0.2">
      <c r="A175" s="17" t="s">
        <v>166</v>
      </c>
      <c r="B175" s="17" t="s">
        <v>53</v>
      </c>
      <c r="C175" s="18">
        <v>45085</v>
      </c>
      <c r="D175" s="17">
        <v>15254000</v>
      </c>
      <c r="E175" s="17" t="s">
        <v>59</v>
      </c>
      <c r="F175" s="17">
        <v>15254000</v>
      </c>
      <c r="G175" s="17" t="s">
        <v>64</v>
      </c>
      <c r="H175" s="17" t="s">
        <v>56</v>
      </c>
      <c r="I175" s="17" t="s">
        <v>167</v>
      </c>
      <c r="J175" s="17">
        <v>2023</v>
      </c>
      <c r="K175" s="17">
        <v>1.5254E-2</v>
      </c>
    </row>
    <row r="176" spans="1:11" x14ac:dyDescent="0.2">
      <c r="A176" s="15" t="s">
        <v>166</v>
      </c>
      <c r="B176" s="15" t="s">
        <v>53</v>
      </c>
      <c r="C176" s="16">
        <v>45085</v>
      </c>
      <c r="D176" s="15">
        <v>17644000</v>
      </c>
      <c r="E176" s="15" t="s">
        <v>59</v>
      </c>
      <c r="F176" s="15">
        <v>17644000</v>
      </c>
      <c r="G176" s="15" t="s">
        <v>64</v>
      </c>
      <c r="H176" s="15" t="s">
        <v>56</v>
      </c>
      <c r="I176" s="15" t="s">
        <v>167</v>
      </c>
      <c r="J176" s="15">
        <v>2023</v>
      </c>
      <c r="K176" s="15">
        <v>1.7644E-2</v>
      </c>
    </row>
    <row r="177" spans="1:11" x14ac:dyDescent="0.2">
      <c r="A177" s="17" t="s">
        <v>166</v>
      </c>
      <c r="B177" s="17" t="s">
        <v>53</v>
      </c>
      <c r="C177" s="18">
        <v>45085</v>
      </c>
      <c r="D177" s="17">
        <v>273072000</v>
      </c>
      <c r="E177" s="17" t="s">
        <v>59</v>
      </c>
      <c r="F177" s="17">
        <v>273072000</v>
      </c>
      <c r="G177" s="17" t="s">
        <v>64</v>
      </c>
      <c r="H177" s="17" t="s">
        <v>56</v>
      </c>
      <c r="I177" s="17" t="s">
        <v>167</v>
      </c>
      <c r="J177" s="17">
        <v>2023</v>
      </c>
      <c r="K177" s="17">
        <v>0.27307199999999998</v>
      </c>
    </row>
    <row r="178" spans="1:11" x14ac:dyDescent="0.2">
      <c r="A178" s="15" t="s">
        <v>166</v>
      </c>
      <c r="B178" s="15" t="s">
        <v>53</v>
      </c>
      <c r="C178" s="16">
        <v>45594</v>
      </c>
      <c r="D178" s="15">
        <v>30000000</v>
      </c>
      <c r="E178" s="15" t="s">
        <v>59</v>
      </c>
      <c r="F178" s="15">
        <v>30000000</v>
      </c>
      <c r="G178" s="15" t="s">
        <v>64</v>
      </c>
      <c r="H178" s="15" t="s">
        <v>56</v>
      </c>
      <c r="I178" s="15" t="s">
        <v>167</v>
      </c>
      <c r="J178" s="15">
        <v>2024</v>
      </c>
      <c r="K178" s="15">
        <v>0.03</v>
      </c>
    </row>
    <row r="179" spans="1:11" x14ac:dyDescent="0.2">
      <c r="A179" s="17" t="s">
        <v>166</v>
      </c>
      <c r="B179" s="17" t="s">
        <v>53</v>
      </c>
      <c r="C179" s="18">
        <v>45594</v>
      </c>
      <c r="D179" s="17">
        <v>23600000</v>
      </c>
      <c r="E179" s="17" t="s">
        <v>59</v>
      </c>
      <c r="F179" s="17">
        <v>23600000</v>
      </c>
      <c r="G179" s="17" t="s">
        <v>64</v>
      </c>
      <c r="H179" s="17" t="s">
        <v>56</v>
      </c>
      <c r="I179" s="17" t="s">
        <v>167</v>
      </c>
      <c r="J179" s="17">
        <v>2024</v>
      </c>
      <c r="K179" s="17">
        <v>2.3599999999999999E-2</v>
      </c>
    </row>
    <row r="180" spans="1:11" x14ac:dyDescent="0.2">
      <c r="A180" s="15" t="s">
        <v>166</v>
      </c>
      <c r="B180" s="15" t="s">
        <v>53</v>
      </c>
      <c r="C180" s="16">
        <v>45594</v>
      </c>
      <c r="D180" s="15">
        <v>324700000</v>
      </c>
      <c r="E180" s="15" t="s">
        <v>59</v>
      </c>
      <c r="F180" s="15">
        <v>324700000</v>
      </c>
      <c r="G180" s="15" t="s">
        <v>64</v>
      </c>
      <c r="H180" s="15" t="s">
        <v>56</v>
      </c>
      <c r="I180" s="15" t="s">
        <v>167</v>
      </c>
      <c r="J180" s="15">
        <v>2024</v>
      </c>
      <c r="K180" s="15">
        <v>0.32469999999999999</v>
      </c>
    </row>
    <row r="181" spans="1:11" x14ac:dyDescent="0.2">
      <c r="A181" s="17" t="s">
        <v>170</v>
      </c>
      <c r="B181" s="17" t="s">
        <v>53</v>
      </c>
      <c r="C181" s="18">
        <v>45307</v>
      </c>
      <c r="D181" s="17">
        <v>5000000000</v>
      </c>
      <c r="E181" s="17" t="s">
        <v>59</v>
      </c>
      <c r="F181" s="17">
        <v>5000000000</v>
      </c>
      <c r="G181" s="17" t="s">
        <v>171</v>
      </c>
      <c r="H181" s="17" t="s">
        <v>77</v>
      </c>
      <c r="I181" s="17" t="s">
        <v>172</v>
      </c>
      <c r="J181" s="17">
        <v>2024</v>
      </c>
      <c r="K181" s="17">
        <v>5</v>
      </c>
    </row>
    <row r="182" spans="1:11" x14ac:dyDescent="0.2">
      <c r="A182" s="15" t="s">
        <v>173</v>
      </c>
      <c r="B182" s="15" t="s">
        <v>174</v>
      </c>
      <c r="C182" s="16">
        <v>45324</v>
      </c>
      <c r="D182" s="15">
        <v>300000000</v>
      </c>
      <c r="E182" s="15" t="s">
        <v>175</v>
      </c>
      <c r="F182" s="15">
        <v>16833000</v>
      </c>
      <c r="G182" s="15" t="s">
        <v>176</v>
      </c>
      <c r="H182" s="15" t="s">
        <v>177</v>
      </c>
      <c r="I182" s="15" t="s">
        <v>178</v>
      </c>
      <c r="J182" s="15">
        <v>2024</v>
      </c>
      <c r="K182" s="15">
        <v>1.6833000000000001E-2</v>
      </c>
    </row>
    <row r="183" spans="1:11" x14ac:dyDescent="0.2">
      <c r="A183" s="17" t="s">
        <v>173</v>
      </c>
      <c r="B183" s="17" t="s">
        <v>174</v>
      </c>
      <c r="C183" s="18">
        <v>44862</v>
      </c>
      <c r="D183" s="17">
        <v>600000000</v>
      </c>
      <c r="E183" s="17" t="s">
        <v>175</v>
      </c>
      <c r="F183" s="17">
        <v>33857369</v>
      </c>
      <c r="G183" s="17" t="s">
        <v>176</v>
      </c>
      <c r="H183" s="17" t="s">
        <v>179</v>
      </c>
      <c r="I183" s="17" t="s">
        <v>178</v>
      </c>
      <c r="J183" s="17">
        <v>2022</v>
      </c>
      <c r="K183" s="17">
        <v>3.3857368999999998E-2</v>
      </c>
    </row>
    <row r="184" spans="1:11" x14ac:dyDescent="0.2">
      <c r="A184" s="15" t="s">
        <v>180</v>
      </c>
      <c r="B184" s="15" t="s">
        <v>174</v>
      </c>
      <c r="C184" s="16">
        <v>44754</v>
      </c>
      <c r="D184" s="15">
        <v>785000000</v>
      </c>
      <c r="E184" s="15" t="s">
        <v>175</v>
      </c>
      <c r="F184" s="15">
        <v>44296725</v>
      </c>
      <c r="G184" s="15" t="s">
        <v>176</v>
      </c>
      <c r="H184" s="15" t="s">
        <v>181</v>
      </c>
      <c r="I184" s="15" t="s">
        <v>182</v>
      </c>
      <c r="J184" s="15">
        <v>2022</v>
      </c>
      <c r="K184" s="15">
        <v>4.4296725000000002E-2</v>
      </c>
    </row>
    <row r="185" spans="1:11" x14ac:dyDescent="0.2">
      <c r="A185" s="17" t="s">
        <v>180</v>
      </c>
      <c r="B185" s="17" t="s">
        <v>174</v>
      </c>
      <c r="C185" s="18">
        <v>44754</v>
      </c>
      <c r="D185" s="17">
        <v>315000000</v>
      </c>
      <c r="E185" s="17" t="s">
        <v>175</v>
      </c>
      <c r="F185" s="17">
        <v>17775119</v>
      </c>
      <c r="G185" s="17" t="s">
        <v>176</v>
      </c>
      <c r="H185" s="17" t="s">
        <v>181</v>
      </c>
      <c r="I185" s="17" t="s">
        <v>182</v>
      </c>
      <c r="J185" s="17">
        <v>2022</v>
      </c>
      <c r="K185" s="17">
        <v>1.7775118999999999E-2</v>
      </c>
    </row>
    <row r="186" spans="1:11" x14ac:dyDescent="0.2">
      <c r="A186" s="15" t="s">
        <v>183</v>
      </c>
      <c r="B186" s="15" t="s">
        <v>174</v>
      </c>
      <c r="C186" s="16">
        <v>44614</v>
      </c>
      <c r="D186" s="15">
        <v>500000000</v>
      </c>
      <c r="E186" s="15" t="s">
        <v>175</v>
      </c>
      <c r="F186" s="15">
        <v>28214474</v>
      </c>
      <c r="G186" s="15" t="s">
        <v>176</v>
      </c>
      <c r="H186" s="15" t="s">
        <v>177</v>
      </c>
      <c r="I186" s="15" t="s">
        <v>184</v>
      </c>
      <c r="J186" s="15">
        <v>2022</v>
      </c>
      <c r="K186" s="15">
        <v>2.8214474E-2</v>
      </c>
    </row>
    <row r="187" spans="1:11" x14ac:dyDescent="0.2">
      <c r="A187" s="17" t="s">
        <v>185</v>
      </c>
      <c r="B187" s="17" t="s">
        <v>174</v>
      </c>
      <c r="C187" s="18">
        <v>45377</v>
      </c>
      <c r="D187" s="17">
        <v>250000000</v>
      </c>
      <c r="E187" s="17" t="s">
        <v>80</v>
      </c>
      <c r="F187" s="17">
        <v>24190000</v>
      </c>
      <c r="G187" s="17" t="s">
        <v>171</v>
      </c>
      <c r="H187" s="17" t="s">
        <v>177</v>
      </c>
      <c r="I187" s="17" t="s">
        <v>186</v>
      </c>
      <c r="J187" s="17">
        <v>2024</v>
      </c>
      <c r="K187" s="17">
        <v>2.419E-2</v>
      </c>
    </row>
    <row r="188" spans="1:11" x14ac:dyDescent="0.2">
      <c r="A188" s="15" t="s">
        <v>187</v>
      </c>
      <c r="B188" s="15" t="s">
        <v>174</v>
      </c>
      <c r="C188" s="16">
        <v>45362</v>
      </c>
      <c r="D188" s="15">
        <v>700000000</v>
      </c>
      <c r="E188" s="15" t="s">
        <v>54</v>
      </c>
      <c r="F188" s="15">
        <v>762720000</v>
      </c>
      <c r="G188" s="15" t="s">
        <v>188</v>
      </c>
      <c r="H188" s="15" t="s">
        <v>189</v>
      </c>
      <c r="I188" s="15" t="s">
        <v>190</v>
      </c>
      <c r="J188" s="15">
        <v>2024</v>
      </c>
      <c r="K188" s="15">
        <v>0.76271999999999995</v>
      </c>
    </row>
    <row r="189" spans="1:11" x14ac:dyDescent="0.2">
      <c r="A189" s="17" t="s">
        <v>191</v>
      </c>
      <c r="B189" s="17" t="s">
        <v>174</v>
      </c>
      <c r="C189" s="18">
        <v>45356</v>
      </c>
      <c r="D189" s="17">
        <v>350000000</v>
      </c>
      <c r="E189" s="17" t="s">
        <v>192</v>
      </c>
      <c r="F189" s="17">
        <v>446215000</v>
      </c>
      <c r="G189" s="17" t="s">
        <v>193</v>
      </c>
      <c r="H189" s="17" t="s">
        <v>181</v>
      </c>
      <c r="I189" s="17" t="s">
        <v>194</v>
      </c>
      <c r="J189" s="17">
        <v>2024</v>
      </c>
      <c r="K189" s="17">
        <v>0.44621499999999997</v>
      </c>
    </row>
    <row r="190" spans="1:11" x14ac:dyDescent="0.2">
      <c r="A190" s="15" t="s">
        <v>195</v>
      </c>
      <c r="B190" s="15" t="s">
        <v>174</v>
      </c>
      <c r="C190" s="16">
        <v>45364</v>
      </c>
      <c r="D190" s="15">
        <v>500000000</v>
      </c>
      <c r="E190" s="15" t="s">
        <v>54</v>
      </c>
      <c r="F190" s="15">
        <v>542550000</v>
      </c>
      <c r="G190" s="15" t="s">
        <v>55</v>
      </c>
      <c r="H190" s="15" t="s">
        <v>196</v>
      </c>
      <c r="I190" s="15" t="s">
        <v>197</v>
      </c>
      <c r="J190" s="15">
        <v>2024</v>
      </c>
      <c r="K190" s="15">
        <v>0.54254999999999998</v>
      </c>
    </row>
    <row r="191" spans="1:11" x14ac:dyDescent="0.2">
      <c r="A191" s="17" t="s">
        <v>198</v>
      </c>
      <c r="B191" s="17" t="s">
        <v>174</v>
      </c>
      <c r="C191" s="18">
        <v>45350</v>
      </c>
      <c r="D191" s="17">
        <v>500000000</v>
      </c>
      <c r="E191" s="17" t="s">
        <v>54</v>
      </c>
      <c r="F191" s="17">
        <v>542550000</v>
      </c>
      <c r="G191" s="17" t="s">
        <v>109</v>
      </c>
      <c r="H191" s="17" t="s">
        <v>181</v>
      </c>
      <c r="I191" s="17" t="s">
        <v>199</v>
      </c>
      <c r="J191" s="17">
        <v>2024</v>
      </c>
      <c r="K191" s="17">
        <v>0.54254999999999998</v>
      </c>
    </row>
    <row r="192" spans="1:11" x14ac:dyDescent="0.2">
      <c r="A192" s="15" t="s">
        <v>198</v>
      </c>
      <c r="B192" s="15" t="s">
        <v>174</v>
      </c>
      <c r="C192" s="16">
        <v>45350</v>
      </c>
      <c r="D192" s="15">
        <v>500000000</v>
      </c>
      <c r="E192" s="15" t="s">
        <v>54</v>
      </c>
      <c r="F192" s="15">
        <v>542550000</v>
      </c>
      <c r="G192" s="15" t="s">
        <v>109</v>
      </c>
      <c r="H192" s="15" t="s">
        <v>181</v>
      </c>
      <c r="I192" s="15" t="s">
        <v>199</v>
      </c>
      <c r="J192" s="15">
        <v>2024</v>
      </c>
      <c r="K192" s="15">
        <v>0.54254999999999998</v>
      </c>
    </row>
    <row r="193" spans="1:11" x14ac:dyDescent="0.2">
      <c r="A193" s="17" t="s">
        <v>185</v>
      </c>
      <c r="B193" s="17" t="s">
        <v>174</v>
      </c>
      <c r="C193" s="18">
        <v>45350</v>
      </c>
      <c r="D193" s="17">
        <v>750000000</v>
      </c>
      <c r="E193" s="17" t="s">
        <v>80</v>
      </c>
      <c r="F193" s="17">
        <v>72570000</v>
      </c>
      <c r="G193" s="17" t="s">
        <v>171</v>
      </c>
      <c r="H193" s="17" t="s">
        <v>177</v>
      </c>
      <c r="I193" s="17" t="s">
        <v>186</v>
      </c>
      <c r="J193" s="17">
        <v>2024</v>
      </c>
      <c r="K193" s="17">
        <v>7.2569999999999996E-2</v>
      </c>
    </row>
    <row r="194" spans="1:11" x14ac:dyDescent="0.2">
      <c r="A194" s="15" t="s">
        <v>200</v>
      </c>
      <c r="B194" s="15" t="s">
        <v>174</v>
      </c>
      <c r="C194" s="16">
        <v>45341</v>
      </c>
      <c r="D194" s="15">
        <v>1000000000</v>
      </c>
      <c r="E194" s="15" t="s">
        <v>54</v>
      </c>
      <c r="F194" s="15">
        <v>1085100000</v>
      </c>
      <c r="G194" s="15" t="s">
        <v>109</v>
      </c>
      <c r="H194" s="15" t="s">
        <v>201</v>
      </c>
      <c r="I194" s="15" t="s">
        <v>202</v>
      </c>
      <c r="J194" s="15">
        <v>2024</v>
      </c>
      <c r="K194" s="15">
        <v>1.0851</v>
      </c>
    </row>
    <row r="195" spans="1:11" x14ac:dyDescent="0.2">
      <c r="A195" s="17" t="s">
        <v>203</v>
      </c>
      <c r="B195" s="17" t="s">
        <v>174</v>
      </c>
      <c r="C195" s="18">
        <v>45336</v>
      </c>
      <c r="D195" s="17">
        <v>500000000</v>
      </c>
      <c r="E195" s="17" t="s">
        <v>54</v>
      </c>
      <c r="F195" s="17">
        <v>542550000</v>
      </c>
      <c r="G195" s="17" t="s">
        <v>138</v>
      </c>
      <c r="H195" s="17" t="s">
        <v>196</v>
      </c>
      <c r="I195" s="17" t="s">
        <v>204</v>
      </c>
      <c r="J195" s="17">
        <v>2024</v>
      </c>
      <c r="K195" s="17">
        <v>0.54254999999999998</v>
      </c>
    </row>
    <row r="196" spans="1:11" x14ac:dyDescent="0.2">
      <c r="A196" s="15" t="s">
        <v>203</v>
      </c>
      <c r="B196" s="15" t="s">
        <v>174</v>
      </c>
      <c r="C196" s="16">
        <v>45336</v>
      </c>
      <c r="D196" s="15">
        <v>350000000</v>
      </c>
      <c r="E196" s="15" t="s">
        <v>54</v>
      </c>
      <c r="F196" s="15">
        <v>379785000</v>
      </c>
      <c r="G196" s="15" t="s">
        <v>138</v>
      </c>
      <c r="H196" s="15" t="s">
        <v>196</v>
      </c>
      <c r="I196" s="15" t="s">
        <v>204</v>
      </c>
      <c r="J196" s="15">
        <v>2024</v>
      </c>
      <c r="K196" s="15">
        <v>0.37978499999999998</v>
      </c>
    </row>
    <row r="197" spans="1:11" x14ac:dyDescent="0.2">
      <c r="A197" s="17" t="s">
        <v>205</v>
      </c>
      <c r="B197" s="17" t="s">
        <v>174</v>
      </c>
      <c r="C197" s="18">
        <v>45314</v>
      </c>
      <c r="D197" s="17">
        <v>1000000000</v>
      </c>
      <c r="E197" s="17" t="s">
        <v>54</v>
      </c>
      <c r="F197" s="17">
        <v>1057194205</v>
      </c>
      <c r="G197" s="17" t="s">
        <v>109</v>
      </c>
      <c r="H197" s="17" t="s">
        <v>206</v>
      </c>
      <c r="I197" s="17" t="s">
        <v>207</v>
      </c>
      <c r="J197" s="17">
        <v>2024</v>
      </c>
      <c r="K197" s="17">
        <v>1.0571942050000001</v>
      </c>
    </row>
    <row r="198" spans="1:11" x14ac:dyDescent="0.2">
      <c r="A198" s="15" t="s">
        <v>205</v>
      </c>
      <c r="B198" s="15" t="s">
        <v>174</v>
      </c>
      <c r="C198" s="16">
        <v>45314</v>
      </c>
      <c r="D198" s="15">
        <v>750000000</v>
      </c>
      <c r="E198" s="15" t="s">
        <v>54</v>
      </c>
      <c r="F198" s="15">
        <v>792895654</v>
      </c>
      <c r="G198" s="15" t="s">
        <v>109</v>
      </c>
      <c r="H198" s="15" t="s">
        <v>206</v>
      </c>
      <c r="I198" s="15" t="s">
        <v>207</v>
      </c>
      <c r="J198" s="15">
        <v>2024</v>
      </c>
      <c r="K198" s="15">
        <v>0.79289565399999995</v>
      </c>
    </row>
    <row r="199" spans="1:11" x14ac:dyDescent="0.2">
      <c r="A199" s="17" t="s">
        <v>208</v>
      </c>
      <c r="B199" s="17" t="s">
        <v>174</v>
      </c>
      <c r="C199" s="18">
        <v>45315</v>
      </c>
      <c r="D199" s="17">
        <v>750000000</v>
      </c>
      <c r="E199" s="17" t="s">
        <v>54</v>
      </c>
      <c r="F199" s="17">
        <v>792895654</v>
      </c>
      <c r="G199" s="17" t="s">
        <v>109</v>
      </c>
      <c r="H199" s="17" t="s">
        <v>209</v>
      </c>
      <c r="I199" s="17" t="s">
        <v>210</v>
      </c>
      <c r="J199" s="17">
        <v>2024</v>
      </c>
      <c r="K199" s="17">
        <v>0.79289565399999995</v>
      </c>
    </row>
    <row r="200" spans="1:11" x14ac:dyDescent="0.2">
      <c r="A200" s="15" t="s">
        <v>211</v>
      </c>
      <c r="B200" s="15" t="s">
        <v>174</v>
      </c>
      <c r="C200" s="16">
        <v>45175</v>
      </c>
      <c r="D200" s="15">
        <v>1000000000</v>
      </c>
      <c r="E200" s="15" t="s">
        <v>54</v>
      </c>
      <c r="F200" s="15">
        <v>1111000000</v>
      </c>
      <c r="G200" s="15" t="s">
        <v>212</v>
      </c>
      <c r="H200" s="15" t="s">
        <v>209</v>
      </c>
      <c r="I200" s="15" t="s">
        <v>213</v>
      </c>
      <c r="J200" s="15">
        <v>2023</v>
      </c>
      <c r="K200" s="15">
        <v>1.111</v>
      </c>
    </row>
    <row r="201" spans="1:11" x14ac:dyDescent="0.2">
      <c r="A201" s="17" t="s">
        <v>214</v>
      </c>
      <c r="B201" s="17" t="s">
        <v>174</v>
      </c>
      <c r="C201" s="18">
        <v>44326</v>
      </c>
      <c r="D201" s="17">
        <v>30000000</v>
      </c>
      <c r="E201" s="17" t="s">
        <v>192</v>
      </c>
      <c r="F201" s="17">
        <v>38232000</v>
      </c>
      <c r="G201" s="17" t="s">
        <v>215</v>
      </c>
      <c r="H201" s="17" t="s">
        <v>216</v>
      </c>
      <c r="I201" s="17" t="s">
        <v>217</v>
      </c>
      <c r="J201" s="17">
        <v>2021</v>
      </c>
      <c r="K201" s="17">
        <v>3.8232000000000002E-2</v>
      </c>
    </row>
    <row r="202" spans="1:11" x14ac:dyDescent="0.2">
      <c r="A202" s="15" t="s">
        <v>218</v>
      </c>
      <c r="B202" s="15" t="s">
        <v>174</v>
      </c>
      <c r="C202" s="16">
        <v>45279</v>
      </c>
      <c r="D202" s="15">
        <v>300000000</v>
      </c>
      <c r="E202" s="15" t="s">
        <v>59</v>
      </c>
      <c r="F202" s="15">
        <v>300000000</v>
      </c>
      <c r="G202" s="15" t="s">
        <v>219</v>
      </c>
      <c r="H202" s="15" t="s">
        <v>201</v>
      </c>
      <c r="I202" s="15" t="s">
        <v>220</v>
      </c>
      <c r="J202" s="15">
        <v>2023</v>
      </c>
      <c r="K202" s="15">
        <v>0.3</v>
      </c>
    </row>
    <row r="203" spans="1:11" x14ac:dyDescent="0.2">
      <c r="A203" s="17" t="s">
        <v>221</v>
      </c>
      <c r="B203" s="17" t="s">
        <v>174</v>
      </c>
      <c r="C203" s="18">
        <v>44362</v>
      </c>
      <c r="D203" s="17">
        <v>1000000000</v>
      </c>
      <c r="E203" s="17" t="s">
        <v>59</v>
      </c>
      <c r="F203" s="17">
        <v>1000000000</v>
      </c>
      <c r="G203" s="17" t="s">
        <v>219</v>
      </c>
      <c r="H203" s="17" t="s">
        <v>189</v>
      </c>
      <c r="I203" s="17" t="s">
        <v>222</v>
      </c>
      <c r="J203" s="17">
        <v>2021</v>
      </c>
      <c r="K203" s="17">
        <v>1</v>
      </c>
    </row>
    <row r="204" spans="1:11" x14ac:dyDescent="0.2">
      <c r="A204" s="15" t="s">
        <v>223</v>
      </c>
      <c r="B204" s="15" t="s">
        <v>174</v>
      </c>
      <c r="C204" s="16">
        <v>44792</v>
      </c>
      <c r="D204" s="15">
        <v>968548000</v>
      </c>
      <c r="E204" s="15" t="s">
        <v>59</v>
      </c>
      <c r="F204" s="15">
        <v>968548000</v>
      </c>
      <c r="G204" s="15" t="s">
        <v>219</v>
      </c>
      <c r="H204" s="15" t="s">
        <v>189</v>
      </c>
      <c r="I204" s="15" t="s">
        <v>224</v>
      </c>
      <c r="J204" s="15">
        <v>2022</v>
      </c>
      <c r="K204" s="15">
        <v>0.96854799999999996</v>
      </c>
    </row>
    <row r="205" spans="1:11" x14ac:dyDescent="0.2">
      <c r="A205" s="17" t="s">
        <v>223</v>
      </c>
      <c r="B205" s="17" t="s">
        <v>174</v>
      </c>
      <c r="C205" s="18">
        <v>44531</v>
      </c>
      <c r="D205" s="17">
        <v>1000000000</v>
      </c>
      <c r="E205" s="17" t="s">
        <v>59</v>
      </c>
      <c r="F205" s="17">
        <v>1000000000</v>
      </c>
      <c r="G205" s="17" t="s">
        <v>219</v>
      </c>
      <c r="H205" s="17" t="s">
        <v>189</v>
      </c>
      <c r="I205" s="17" t="s">
        <v>224</v>
      </c>
      <c r="J205" s="17">
        <v>2021</v>
      </c>
      <c r="K205" s="17">
        <v>1</v>
      </c>
    </row>
    <row r="206" spans="1:11" x14ac:dyDescent="0.2">
      <c r="A206" s="15" t="s">
        <v>225</v>
      </c>
      <c r="B206" s="15" t="s">
        <v>174</v>
      </c>
      <c r="C206" s="16">
        <v>45348</v>
      </c>
      <c r="D206" s="15">
        <v>500000000</v>
      </c>
      <c r="E206" s="15" t="s">
        <v>59</v>
      </c>
      <c r="F206" s="15">
        <v>500000000</v>
      </c>
      <c r="G206" s="15" t="s">
        <v>226</v>
      </c>
      <c r="H206" s="15" t="s">
        <v>227</v>
      </c>
      <c r="I206" s="15" t="s">
        <v>228</v>
      </c>
      <c r="J206" s="15">
        <v>2024</v>
      </c>
      <c r="K206" s="15">
        <v>0.5</v>
      </c>
    </row>
    <row r="207" spans="1:11" x14ac:dyDescent="0.2">
      <c r="A207" s="17" t="s">
        <v>229</v>
      </c>
      <c r="B207" s="17" t="s">
        <v>174</v>
      </c>
      <c r="C207" s="18">
        <v>45322</v>
      </c>
      <c r="D207" s="17">
        <v>100000000</v>
      </c>
      <c r="E207" s="17" t="s">
        <v>59</v>
      </c>
      <c r="F207" s="17">
        <v>100000000</v>
      </c>
      <c r="G207" s="17" t="s">
        <v>230</v>
      </c>
      <c r="H207" s="17" t="s">
        <v>181</v>
      </c>
      <c r="I207" s="17" t="s">
        <v>231</v>
      </c>
      <c r="J207" s="17">
        <v>2024</v>
      </c>
      <c r="K207" s="17">
        <v>0.1</v>
      </c>
    </row>
    <row r="208" spans="1:11" x14ac:dyDescent="0.2">
      <c r="A208" s="15" t="s">
        <v>232</v>
      </c>
      <c r="B208" s="15" t="s">
        <v>174</v>
      </c>
      <c r="C208" s="16">
        <v>45306</v>
      </c>
      <c r="D208" s="15">
        <v>450000000</v>
      </c>
      <c r="E208" s="15" t="s">
        <v>233</v>
      </c>
      <c r="F208" s="15">
        <v>335745000</v>
      </c>
      <c r="G208" s="15" t="s">
        <v>234</v>
      </c>
      <c r="H208" s="15" t="s">
        <v>216</v>
      </c>
      <c r="I208" s="15" t="s">
        <v>235</v>
      </c>
      <c r="J208" s="15">
        <v>2024</v>
      </c>
      <c r="K208" s="15">
        <v>0.33574500000000002</v>
      </c>
    </row>
    <row r="209" spans="1:11" x14ac:dyDescent="0.2">
      <c r="A209" s="17" t="s">
        <v>236</v>
      </c>
      <c r="B209" s="17" t="s">
        <v>174</v>
      </c>
      <c r="C209" s="18">
        <v>45327</v>
      </c>
      <c r="D209" s="17">
        <v>400000000</v>
      </c>
      <c r="E209" s="17" t="s">
        <v>80</v>
      </c>
      <c r="F209" s="17">
        <v>37720000</v>
      </c>
      <c r="G209" s="17" t="s">
        <v>171</v>
      </c>
      <c r="H209" s="17" t="s">
        <v>181</v>
      </c>
      <c r="I209" s="17" t="s">
        <v>237</v>
      </c>
      <c r="J209" s="17">
        <v>2024</v>
      </c>
      <c r="K209" s="17">
        <v>3.7719999999999997E-2</v>
      </c>
    </row>
    <row r="210" spans="1:11" x14ac:dyDescent="0.2">
      <c r="A210" s="15" t="s">
        <v>238</v>
      </c>
      <c r="B210" s="15" t="s">
        <v>174</v>
      </c>
      <c r="C210" s="16">
        <v>45077</v>
      </c>
      <c r="D210" s="15">
        <v>300000000</v>
      </c>
      <c r="E210" s="15" t="s">
        <v>80</v>
      </c>
      <c r="F210" s="15">
        <v>29190460</v>
      </c>
      <c r="G210" s="15" t="s">
        <v>171</v>
      </c>
      <c r="H210" s="15" t="s">
        <v>216</v>
      </c>
      <c r="I210" s="15" t="s">
        <v>239</v>
      </c>
      <c r="J210" s="15">
        <v>2023</v>
      </c>
      <c r="K210" s="15">
        <v>2.9190460000000001E-2</v>
      </c>
    </row>
    <row r="211" spans="1:11" x14ac:dyDescent="0.2">
      <c r="A211" s="17" t="s">
        <v>240</v>
      </c>
      <c r="B211" s="17" t="s">
        <v>174</v>
      </c>
      <c r="C211" s="18">
        <v>45315</v>
      </c>
      <c r="D211" s="17">
        <v>500000000</v>
      </c>
      <c r="E211" s="17" t="s">
        <v>80</v>
      </c>
      <c r="F211" s="17">
        <v>47150000</v>
      </c>
      <c r="G211" s="17" t="s">
        <v>171</v>
      </c>
      <c r="H211" s="17" t="s">
        <v>201</v>
      </c>
      <c r="I211" s="17" t="s">
        <v>241</v>
      </c>
      <c r="J211" s="17">
        <v>2024</v>
      </c>
      <c r="K211" s="17">
        <v>4.7149999999999997E-2</v>
      </c>
    </row>
    <row r="212" spans="1:11" x14ac:dyDescent="0.2">
      <c r="A212" s="15" t="s">
        <v>242</v>
      </c>
      <c r="B212" s="15" t="s">
        <v>174</v>
      </c>
      <c r="C212" s="16">
        <v>45309</v>
      </c>
      <c r="D212" s="15">
        <v>50000000</v>
      </c>
      <c r="E212" s="15" t="s">
        <v>54</v>
      </c>
      <c r="F212" s="15">
        <v>53670000</v>
      </c>
      <c r="G212" s="15" t="s">
        <v>243</v>
      </c>
      <c r="H212" s="15" t="s">
        <v>196</v>
      </c>
      <c r="I212" s="15" t="s">
        <v>244</v>
      </c>
      <c r="J212" s="15">
        <v>2024</v>
      </c>
      <c r="K212" s="15">
        <v>5.3670000000000002E-2</v>
      </c>
    </row>
    <row r="213" spans="1:11" x14ac:dyDescent="0.2">
      <c r="A213" s="17" t="s">
        <v>245</v>
      </c>
      <c r="B213" s="17" t="s">
        <v>174</v>
      </c>
      <c r="C213" s="18">
        <v>44854</v>
      </c>
      <c r="D213" s="17">
        <v>70000000</v>
      </c>
      <c r="E213" s="17" t="s">
        <v>54</v>
      </c>
      <c r="F213" s="17">
        <v>77770000</v>
      </c>
      <c r="G213" s="17" t="s">
        <v>243</v>
      </c>
      <c r="H213" s="17" t="s">
        <v>181</v>
      </c>
      <c r="I213" s="17" t="s">
        <v>246</v>
      </c>
      <c r="J213" s="17">
        <v>2022</v>
      </c>
      <c r="K213" s="17">
        <v>7.7770000000000006E-2</v>
      </c>
    </row>
    <row r="214" spans="1:11" x14ac:dyDescent="0.2">
      <c r="A214" s="15" t="s">
        <v>247</v>
      </c>
      <c r="B214" s="15" t="s">
        <v>174</v>
      </c>
      <c r="C214" s="16">
        <v>44462</v>
      </c>
      <c r="D214" s="15">
        <v>10000000</v>
      </c>
      <c r="E214" s="15" t="s">
        <v>59</v>
      </c>
      <c r="F214" s="15">
        <v>10000000</v>
      </c>
      <c r="G214" s="15" t="s">
        <v>248</v>
      </c>
      <c r="H214" s="15" t="s">
        <v>209</v>
      </c>
      <c r="I214" s="15" t="s">
        <v>249</v>
      </c>
      <c r="J214" s="15">
        <v>2021</v>
      </c>
      <c r="K214" s="15">
        <v>0.01</v>
      </c>
    </row>
    <row r="215" spans="1:11" x14ac:dyDescent="0.2">
      <c r="A215" s="17" t="s">
        <v>250</v>
      </c>
      <c r="B215" s="17" t="s">
        <v>174</v>
      </c>
      <c r="C215" s="18">
        <v>45330</v>
      </c>
      <c r="D215" s="17">
        <v>63000000</v>
      </c>
      <c r="E215" s="17" t="s">
        <v>59</v>
      </c>
      <c r="F215" s="17">
        <v>63000000</v>
      </c>
      <c r="G215" s="17" t="s">
        <v>251</v>
      </c>
      <c r="H215" s="17" t="s">
        <v>209</v>
      </c>
      <c r="I215" s="17" t="s">
        <v>252</v>
      </c>
      <c r="J215" s="17">
        <v>2024</v>
      </c>
      <c r="K215" s="17">
        <v>6.3E-2</v>
      </c>
    </row>
    <row r="216" spans="1:11" x14ac:dyDescent="0.2">
      <c r="A216" s="15" t="s">
        <v>253</v>
      </c>
      <c r="B216" s="15" t="s">
        <v>174</v>
      </c>
      <c r="C216" s="16">
        <v>45169</v>
      </c>
      <c r="D216" s="15">
        <v>1000000000</v>
      </c>
      <c r="E216" s="15" t="s">
        <v>73</v>
      </c>
      <c r="F216" s="15">
        <v>94170000</v>
      </c>
      <c r="G216" s="15" t="s">
        <v>251</v>
      </c>
      <c r="H216" s="15" t="s">
        <v>254</v>
      </c>
      <c r="I216" s="15" t="s">
        <v>255</v>
      </c>
      <c r="J216" s="15">
        <v>2023</v>
      </c>
      <c r="K216" s="15">
        <v>9.4170000000000004E-2</v>
      </c>
    </row>
    <row r="217" spans="1:11" x14ac:dyDescent="0.2">
      <c r="A217" s="17" t="s">
        <v>256</v>
      </c>
      <c r="B217" s="17" t="s">
        <v>174</v>
      </c>
      <c r="C217" s="18">
        <v>45016</v>
      </c>
      <c r="D217" s="17">
        <v>21563000</v>
      </c>
      <c r="E217" s="17" t="s">
        <v>257</v>
      </c>
      <c r="F217" s="17">
        <v>4973590</v>
      </c>
      <c r="G217" s="17" t="s">
        <v>258</v>
      </c>
      <c r="H217" s="17" t="s">
        <v>181</v>
      </c>
      <c r="I217" s="17" t="s">
        <v>259</v>
      </c>
      <c r="J217" s="17">
        <v>2023</v>
      </c>
      <c r="K217" s="17">
        <v>4.97359E-3</v>
      </c>
    </row>
    <row r="218" spans="1:11" x14ac:dyDescent="0.2">
      <c r="A218" s="15" t="s">
        <v>260</v>
      </c>
      <c r="B218" s="15" t="s">
        <v>174</v>
      </c>
      <c r="C218" s="16">
        <v>45261</v>
      </c>
      <c r="D218" s="15">
        <v>400000000</v>
      </c>
      <c r="E218" s="15" t="s">
        <v>257</v>
      </c>
      <c r="F218" s="15">
        <v>92261561</v>
      </c>
      <c r="G218" s="15" t="s">
        <v>258</v>
      </c>
      <c r="H218" s="15" t="s">
        <v>209</v>
      </c>
      <c r="I218" s="15" t="s">
        <v>261</v>
      </c>
      <c r="J218" s="15">
        <v>2023</v>
      </c>
      <c r="K218" s="15">
        <v>9.2261561000000006E-2</v>
      </c>
    </row>
    <row r="219" spans="1:11" x14ac:dyDescent="0.2">
      <c r="A219" s="17" t="s">
        <v>262</v>
      </c>
      <c r="B219" s="17" t="s">
        <v>174</v>
      </c>
      <c r="C219" s="18">
        <v>45380</v>
      </c>
      <c r="D219" s="17">
        <v>100000000</v>
      </c>
      <c r="E219" s="17" t="s">
        <v>257</v>
      </c>
      <c r="F219" s="17">
        <v>21057064</v>
      </c>
      <c r="G219" s="17" t="s">
        <v>258</v>
      </c>
      <c r="H219" s="17" t="s">
        <v>189</v>
      </c>
      <c r="I219" s="17" t="s">
        <v>263</v>
      </c>
      <c r="J219" s="17">
        <v>2024</v>
      </c>
      <c r="K219" s="17">
        <v>2.1057064E-2</v>
      </c>
    </row>
    <row r="220" spans="1:11" x14ac:dyDescent="0.2">
      <c r="A220" s="15" t="s">
        <v>262</v>
      </c>
      <c r="B220" s="15" t="s">
        <v>174</v>
      </c>
      <c r="C220" s="16">
        <v>45380</v>
      </c>
      <c r="D220" s="15">
        <v>90000000</v>
      </c>
      <c r="E220" s="15" t="s">
        <v>257</v>
      </c>
      <c r="F220" s="15">
        <v>18951358</v>
      </c>
      <c r="G220" s="15" t="s">
        <v>258</v>
      </c>
      <c r="H220" s="15" t="s">
        <v>189</v>
      </c>
      <c r="I220" s="15" t="s">
        <v>263</v>
      </c>
      <c r="J220" s="15">
        <v>2024</v>
      </c>
      <c r="K220" s="15">
        <v>1.8951358000000001E-2</v>
      </c>
    </row>
    <row r="221" spans="1:11" x14ac:dyDescent="0.2">
      <c r="A221" s="17" t="s">
        <v>262</v>
      </c>
      <c r="B221" s="17" t="s">
        <v>174</v>
      </c>
      <c r="C221" s="18">
        <v>45380</v>
      </c>
      <c r="D221" s="17">
        <v>60000000</v>
      </c>
      <c r="E221" s="17" t="s">
        <v>257</v>
      </c>
      <c r="F221" s="17">
        <v>12634238</v>
      </c>
      <c r="G221" s="17" t="s">
        <v>258</v>
      </c>
      <c r="H221" s="17" t="s">
        <v>189</v>
      </c>
      <c r="I221" s="17" t="s">
        <v>263</v>
      </c>
      <c r="J221" s="17">
        <v>2024</v>
      </c>
      <c r="K221" s="17">
        <v>1.2634238000000001E-2</v>
      </c>
    </row>
    <row r="222" spans="1:11" x14ac:dyDescent="0.2">
      <c r="A222" s="15" t="s">
        <v>264</v>
      </c>
      <c r="B222" s="15" t="s">
        <v>174</v>
      </c>
      <c r="C222" s="16">
        <v>45271</v>
      </c>
      <c r="D222" s="15">
        <v>582350700</v>
      </c>
      <c r="E222" s="15" t="s">
        <v>265</v>
      </c>
      <c r="F222" s="15">
        <v>29152184</v>
      </c>
      <c r="G222" s="15" t="s">
        <v>266</v>
      </c>
      <c r="H222" s="15" t="s">
        <v>206</v>
      </c>
      <c r="I222" s="15" t="s">
        <v>267</v>
      </c>
      <c r="J222" s="15">
        <v>2023</v>
      </c>
      <c r="K222" s="15">
        <v>2.9152184000000001E-2</v>
      </c>
    </row>
    <row r="223" spans="1:11" x14ac:dyDescent="0.2">
      <c r="A223" s="17" t="s">
        <v>264</v>
      </c>
      <c r="B223" s="17" t="s">
        <v>174</v>
      </c>
      <c r="C223" s="18">
        <v>45271</v>
      </c>
      <c r="D223" s="17">
        <v>2844051400</v>
      </c>
      <c r="E223" s="17" t="s">
        <v>265</v>
      </c>
      <c r="F223" s="17">
        <v>142371791</v>
      </c>
      <c r="G223" s="17" t="s">
        <v>266</v>
      </c>
      <c r="H223" s="17" t="s">
        <v>206</v>
      </c>
      <c r="I223" s="17" t="s">
        <v>267</v>
      </c>
      <c r="J223" s="17">
        <v>2023</v>
      </c>
      <c r="K223" s="17">
        <v>0.142371791</v>
      </c>
    </row>
    <row r="224" spans="1:11" x14ac:dyDescent="0.2">
      <c r="A224" s="15" t="s">
        <v>268</v>
      </c>
      <c r="B224" s="15" t="s">
        <v>174</v>
      </c>
      <c r="C224" s="16">
        <v>45264</v>
      </c>
      <c r="D224" s="15">
        <v>1500000000</v>
      </c>
      <c r="E224" s="15" t="s">
        <v>265</v>
      </c>
      <c r="F224" s="15">
        <v>75089250</v>
      </c>
      <c r="G224" s="15" t="s">
        <v>266</v>
      </c>
      <c r="H224" s="15" t="s">
        <v>177</v>
      </c>
      <c r="I224" s="15" t="s">
        <v>269</v>
      </c>
      <c r="J224" s="15">
        <v>2023</v>
      </c>
      <c r="K224" s="15">
        <v>7.5089249999999996E-2</v>
      </c>
    </row>
    <row r="225" spans="1:11" x14ac:dyDescent="0.2">
      <c r="A225" s="17" t="s">
        <v>270</v>
      </c>
      <c r="B225" s="17" t="s">
        <v>174</v>
      </c>
      <c r="C225" s="18">
        <v>45371</v>
      </c>
      <c r="D225" s="17">
        <v>1384868300</v>
      </c>
      <c r="E225" s="17" t="s">
        <v>265</v>
      </c>
      <c r="F225" s="17">
        <v>84792716</v>
      </c>
      <c r="G225" s="17" t="s">
        <v>266</v>
      </c>
      <c r="H225" s="17" t="s">
        <v>181</v>
      </c>
      <c r="I225" s="17" t="s">
        <v>271</v>
      </c>
      <c r="J225" s="17">
        <v>2024</v>
      </c>
      <c r="K225" s="17">
        <v>8.4792716000000004E-2</v>
      </c>
    </row>
    <row r="226" spans="1:11" x14ac:dyDescent="0.2">
      <c r="A226" s="15" t="s">
        <v>270</v>
      </c>
      <c r="B226" s="15" t="s">
        <v>174</v>
      </c>
      <c r="C226" s="16">
        <v>45371</v>
      </c>
      <c r="D226" s="15">
        <v>1615137700</v>
      </c>
      <c r="E226" s="15" t="s">
        <v>265</v>
      </c>
      <c r="F226" s="15">
        <v>98891651</v>
      </c>
      <c r="G226" s="15" t="s">
        <v>266</v>
      </c>
      <c r="H226" s="15" t="s">
        <v>181</v>
      </c>
      <c r="I226" s="15" t="s">
        <v>271</v>
      </c>
      <c r="J226" s="15">
        <v>2024</v>
      </c>
      <c r="K226" s="15">
        <v>9.8891650999999997E-2</v>
      </c>
    </row>
    <row r="227" spans="1:11" x14ac:dyDescent="0.2">
      <c r="A227" s="17" t="s">
        <v>272</v>
      </c>
      <c r="B227" s="17" t="s">
        <v>174</v>
      </c>
      <c r="C227" s="18">
        <v>45261</v>
      </c>
      <c r="D227" s="17">
        <v>1500000000</v>
      </c>
      <c r="E227" s="17" t="s">
        <v>265</v>
      </c>
      <c r="F227" s="17">
        <v>87834961</v>
      </c>
      <c r="G227" s="17" t="s">
        <v>266</v>
      </c>
      <c r="H227" s="17" t="s">
        <v>177</v>
      </c>
      <c r="I227" s="17" t="s">
        <v>273</v>
      </c>
      <c r="J227" s="17">
        <v>2023</v>
      </c>
      <c r="K227" s="17">
        <v>8.7834961000000003E-2</v>
      </c>
    </row>
    <row r="228" spans="1:11" x14ac:dyDescent="0.2">
      <c r="A228" s="15" t="s">
        <v>274</v>
      </c>
      <c r="B228" s="15" t="s">
        <v>174</v>
      </c>
      <c r="C228" s="16">
        <v>45268</v>
      </c>
      <c r="D228" s="15">
        <v>1110000000</v>
      </c>
      <c r="E228" s="15" t="s">
        <v>265</v>
      </c>
      <c r="F228" s="15">
        <v>64997871</v>
      </c>
      <c r="G228" s="15" t="s">
        <v>266</v>
      </c>
      <c r="H228" s="15" t="s">
        <v>209</v>
      </c>
      <c r="I228" s="15" t="s">
        <v>275</v>
      </c>
      <c r="J228" s="15">
        <v>2023</v>
      </c>
      <c r="K228" s="15">
        <v>6.4997870999999999E-2</v>
      </c>
    </row>
    <row r="229" spans="1:11" x14ac:dyDescent="0.2">
      <c r="A229" s="17" t="s">
        <v>274</v>
      </c>
      <c r="B229" s="17" t="s">
        <v>174</v>
      </c>
      <c r="C229" s="18">
        <v>45268</v>
      </c>
      <c r="D229" s="17">
        <v>1390000000</v>
      </c>
      <c r="E229" s="17" t="s">
        <v>265</v>
      </c>
      <c r="F229" s="17">
        <v>81393731</v>
      </c>
      <c r="G229" s="17" t="s">
        <v>266</v>
      </c>
      <c r="H229" s="17" t="s">
        <v>209</v>
      </c>
      <c r="I229" s="17" t="s">
        <v>275</v>
      </c>
      <c r="J229" s="17">
        <v>2023</v>
      </c>
      <c r="K229" s="17">
        <v>8.1393730999999997E-2</v>
      </c>
    </row>
    <row r="230" spans="1:11" x14ac:dyDescent="0.2">
      <c r="A230" s="15" t="s">
        <v>276</v>
      </c>
      <c r="B230" s="15" t="s">
        <v>174</v>
      </c>
      <c r="C230" s="16">
        <v>45335</v>
      </c>
      <c r="D230" s="15">
        <v>20000000000</v>
      </c>
      <c r="E230" s="15" t="s">
        <v>163</v>
      </c>
      <c r="F230" s="15">
        <v>133400000</v>
      </c>
      <c r="G230" s="15" t="s">
        <v>164</v>
      </c>
      <c r="H230" s="15" t="s">
        <v>209</v>
      </c>
      <c r="I230" s="15" t="s">
        <v>277</v>
      </c>
      <c r="J230" s="15">
        <v>2024</v>
      </c>
      <c r="K230" s="15">
        <v>0.13339999999999999</v>
      </c>
    </row>
    <row r="231" spans="1:11" x14ac:dyDescent="0.2">
      <c r="A231" s="17" t="s">
        <v>278</v>
      </c>
      <c r="B231" s="17" t="s">
        <v>174</v>
      </c>
      <c r="C231" s="18">
        <v>45350</v>
      </c>
      <c r="D231" s="17">
        <v>10000000000</v>
      </c>
      <c r="E231" s="17" t="s">
        <v>163</v>
      </c>
      <c r="F231" s="17">
        <v>67660000</v>
      </c>
      <c r="G231" s="17" t="s">
        <v>164</v>
      </c>
      <c r="H231" s="17" t="s">
        <v>209</v>
      </c>
      <c r="I231" s="17" t="s">
        <v>279</v>
      </c>
      <c r="J231" s="17">
        <v>2024</v>
      </c>
      <c r="K231" s="17">
        <v>6.7659999999999998E-2</v>
      </c>
    </row>
    <row r="232" spans="1:11" x14ac:dyDescent="0.2">
      <c r="A232" s="15" t="s">
        <v>280</v>
      </c>
      <c r="B232" s="15" t="s">
        <v>174</v>
      </c>
      <c r="C232" s="16">
        <v>45357</v>
      </c>
      <c r="D232" s="15">
        <v>10000000000</v>
      </c>
      <c r="E232" s="15" t="s">
        <v>163</v>
      </c>
      <c r="F232" s="15">
        <v>67660000</v>
      </c>
      <c r="G232" s="15" t="s">
        <v>164</v>
      </c>
      <c r="H232" s="15" t="s">
        <v>206</v>
      </c>
      <c r="I232" s="15" t="s">
        <v>281</v>
      </c>
      <c r="J232" s="15">
        <v>2024</v>
      </c>
      <c r="K232" s="15">
        <v>6.7659999999999998E-2</v>
      </c>
    </row>
    <row r="233" spans="1:11" x14ac:dyDescent="0.2">
      <c r="A233" s="17" t="s">
        <v>282</v>
      </c>
      <c r="B233" s="17" t="s">
        <v>174</v>
      </c>
      <c r="C233" s="18">
        <v>45316</v>
      </c>
      <c r="D233" s="17">
        <v>20000000000</v>
      </c>
      <c r="E233" s="17" t="s">
        <v>163</v>
      </c>
      <c r="F233" s="17">
        <v>135290000</v>
      </c>
      <c r="G233" s="17" t="s">
        <v>164</v>
      </c>
      <c r="H233" s="17" t="s">
        <v>209</v>
      </c>
      <c r="I233" s="17" t="s">
        <v>283</v>
      </c>
      <c r="J233" s="17">
        <v>2024</v>
      </c>
      <c r="K233" s="17">
        <v>0.13528999999999999</v>
      </c>
    </row>
    <row r="234" spans="1:11" x14ac:dyDescent="0.2">
      <c r="A234" s="15" t="s">
        <v>284</v>
      </c>
      <c r="B234" s="15" t="s">
        <v>174</v>
      </c>
      <c r="C234" s="16">
        <v>44251</v>
      </c>
      <c r="D234" s="15">
        <v>25000000</v>
      </c>
      <c r="E234" s="15" t="s">
        <v>54</v>
      </c>
      <c r="F234" s="15">
        <v>27775000</v>
      </c>
      <c r="G234" s="15" t="s">
        <v>109</v>
      </c>
      <c r="H234" s="15" t="s">
        <v>179</v>
      </c>
      <c r="I234" s="15" t="s">
        <v>285</v>
      </c>
      <c r="J234" s="15">
        <v>2021</v>
      </c>
      <c r="K234" s="15">
        <v>2.7775000000000001E-2</v>
      </c>
    </row>
    <row r="235" spans="1:11" x14ac:dyDescent="0.2">
      <c r="A235" s="17" t="s">
        <v>286</v>
      </c>
      <c r="B235" s="17" t="s">
        <v>174</v>
      </c>
      <c r="C235" s="18">
        <v>45289</v>
      </c>
      <c r="D235" s="17">
        <v>1000000000</v>
      </c>
      <c r="E235" s="17" t="s">
        <v>89</v>
      </c>
      <c r="F235" s="17">
        <v>138684714</v>
      </c>
      <c r="G235" s="17" t="s">
        <v>60</v>
      </c>
      <c r="H235" s="17" t="s">
        <v>287</v>
      </c>
      <c r="I235" s="17" t="s">
        <v>288</v>
      </c>
      <c r="J235" s="17">
        <v>2023</v>
      </c>
      <c r="K235" s="17">
        <v>0.13868471399999999</v>
      </c>
    </row>
    <row r="236" spans="1:11" x14ac:dyDescent="0.2">
      <c r="A236" s="15" t="s">
        <v>289</v>
      </c>
      <c r="B236" s="15" t="s">
        <v>174</v>
      </c>
      <c r="C236" s="16">
        <v>45273</v>
      </c>
      <c r="D236" s="15">
        <v>135000000</v>
      </c>
      <c r="E236" s="15" t="s">
        <v>54</v>
      </c>
      <c r="F236" s="15">
        <v>149985000</v>
      </c>
      <c r="G236" s="15" t="s">
        <v>138</v>
      </c>
      <c r="H236" s="15" t="s">
        <v>209</v>
      </c>
      <c r="I236" s="15" t="s">
        <v>290</v>
      </c>
      <c r="J236" s="15">
        <v>2023</v>
      </c>
      <c r="K236" s="15">
        <v>0.14998500000000001</v>
      </c>
    </row>
    <row r="237" spans="1:11" x14ac:dyDescent="0.2">
      <c r="A237" s="17" t="s">
        <v>291</v>
      </c>
      <c r="B237" s="17" t="s">
        <v>174</v>
      </c>
      <c r="C237" s="18">
        <v>45091</v>
      </c>
      <c r="D237" s="17">
        <v>750000000</v>
      </c>
      <c r="E237" s="17" t="s">
        <v>54</v>
      </c>
      <c r="F237" s="17">
        <v>833250000</v>
      </c>
      <c r="G237" s="17" t="s">
        <v>138</v>
      </c>
      <c r="H237" s="17" t="s">
        <v>292</v>
      </c>
      <c r="I237" s="17" t="s">
        <v>293</v>
      </c>
      <c r="J237" s="17">
        <v>2023</v>
      </c>
      <c r="K237" s="17">
        <v>0.83325000000000005</v>
      </c>
    </row>
    <row r="238" spans="1:11" x14ac:dyDescent="0.2">
      <c r="A238" s="15" t="s">
        <v>294</v>
      </c>
      <c r="B238" s="15" t="s">
        <v>174</v>
      </c>
      <c r="C238" s="16">
        <v>44893</v>
      </c>
      <c r="D238" s="15">
        <v>350000000</v>
      </c>
      <c r="E238" s="15" t="s">
        <v>54</v>
      </c>
      <c r="F238" s="15">
        <v>388850000</v>
      </c>
      <c r="G238" s="15" t="s">
        <v>138</v>
      </c>
      <c r="H238" s="15" t="s">
        <v>189</v>
      </c>
      <c r="I238" s="15" t="s">
        <v>295</v>
      </c>
      <c r="J238" s="15">
        <v>2022</v>
      </c>
      <c r="K238" s="15">
        <v>0.38884999999999997</v>
      </c>
    </row>
    <row r="239" spans="1:11" x14ac:dyDescent="0.2">
      <c r="A239" s="17" t="s">
        <v>296</v>
      </c>
      <c r="B239" s="17" t="s">
        <v>174</v>
      </c>
      <c r="C239" s="18">
        <v>44538</v>
      </c>
      <c r="D239" s="17">
        <v>115000000</v>
      </c>
      <c r="E239" s="17" t="s">
        <v>54</v>
      </c>
      <c r="F239" s="17">
        <v>127765000</v>
      </c>
      <c r="G239" s="17" t="s">
        <v>138</v>
      </c>
      <c r="H239" s="17" t="s">
        <v>181</v>
      </c>
      <c r="I239" s="17" t="s">
        <v>297</v>
      </c>
      <c r="J239" s="17">
        <v>2021</v>
      </c>
      <c r="K239" s="17">
        <v>0.12776499999999999</v>
      </c>
    </row>
    <row r="240" spans="1:11" x14ac:dyDescent="0.2">
      <c r="A240" s="15" t="s">
        <v>296</v>
      </c>
      <c r="B240" s="15" t="s">
        <v>174</v>
      </c>
      <c r="C240" s="16">
        <v>44538</v>
      </c>
      <c r="D240" s="15">
        <v>35000000</v>
      </c>
      <c r="E240" s="15" t="s">
        <v>54</v>
      </c>
      <c r="F240" s="15">
        <v>38885000</v>
      </c>
      <c r="G240" s="15" t="s">
        <v>138</v>
      </c>
      <c r="H240" s="15" t="s">
        <v>181</v>
      </c>
      <c r="I240" s="15" t="s">
        <v>297</v>
      </c>
      <c r="J240" s="15">
        <v>2021</v>
      </c>
      <c r="K240" s="15">
        <v>3.8885000000000003E-2</v>
      </c>
    </row>
    <row r="241" spans="1:11" x14ac:dyDescent="0.2">
      <c r="A241" s="17" t="s">
        <v>298</v>
      </c>
      <c r="B241" s="17" t="s">
        <v>174</v>
      </c>
      <c r="C241" s="18">
        <v>42290</v>
      </c>
      <c r="D241" s="17">
        <v>300000000</v>
      </c>
      <c r="E241" s="17" t="s">
        <v>54</v>
      </c>
      <c r="F241" s="17">
        <v>333300000</v>
      </c>
      <c r="G241" s="17" t="s">
        <v>219</v>
      </c>
      <c r="H241" s="17" t="s">
        <v>181</v>
      </c>
      <c r="I241" s="17" t="s">
        <v>299</v>
      </c>
      <c r="J241" s="17">
        <v>2015</v>
      </c>
      <c r="K241" s="17">
        <v>0.33329999999999999</v>
      </c>
    </row>
    <row r="242" spans="1:11" x14ac:dyDescent="0.2">
      <c r="A242" s="15" t="s">
        <v>300</v>
      </c>
      <c r="B242" s="15" t="s">
        <v>174</v>
      </c>
      <c r="C242" s="16">
        <v>44547</v>
      </c>
      <c r="D242" s="15">
        <v>50000000000</v>
      </c>
      <c r="E242" s="15" t="s">
        <v>301</v>
      </c>
      <c r="F242" s="15">
        <v>12282929</v>
      </c>
      <c r="G242" s="15" t="s">
        <v>302</v>
      </c>
      <c r="H242" s="15" t="s">
        <v>179</v>
      </c>
      <c r="I242" s="15" t="s">
        <v>303</v>
      </c>
      <c r="J242" s="15">
        <v>2021</v>
      </c>
      <c r="K242" s="15">
        <v>1.2282929E-2</v>
      </c>
    </row>
    <row r="243" spans="1:11" x14ac:dyDescent="0.2">
      <c r="A243" s="17" t="s">
        <v>304</v>
      </c>
      <c r="B243" s="17" t="s">
        <v>174</v>
      </c>
      <c r="C243" s="18">
        <v>45351</v>
      </c>
      <c r="D243" s="17">
        <v>1500000000</v>
      </c>
      <c r="E243" s="17" t="s">
        <v>89</v>
      </c>
      <c r="F243" s="17">
        <v>206660000</v>
      </c>
      <c r="G243" s="17" t="s">
        <v>60</v>
      </c>
      <c r="H243" s="17" t="s">
        <v>305</v>
      </c>
      <c r="I243" s="17" t="s">
        <v>306</v>
      </c>
      <c r="J243" s="17">
        <v>2024</v>
      </c>
      <c r="K243" s="17">
        <v>0.20666000000000001</v>
      </c>
    </row>
    <row r="244" spans="1:11" x14ac:dyDescent="0.2">
      <c r="A244" s="15" t="s">
        <v>307</v>
      </c>
      <c r="B244" s="15" t="s">
        <v>174</v>
      </c>
      <c r="C244" s="16">
        <v>45306</v>
      </c>
      <c r="D244" s="15">
        <v>1000000000</v>
      </c>
      <c r="E244" s="15" t="s">
        <v>89</v>
      </c>
      <c r="F244" s="15">
        <v>138684714</v>
      </c>
      <c r="G244" s="15" t="s">
        <v>60</v>
      </c>
      <c r="H244" s="15" t="s">
        <v>308</v>
      </c>
      <c r="I244" s="15" t="s">
        <v>309</v>
      </c>
      <c r="J244" s="15">
        <v>2024</v>
      </c>
      <c r="K244" s="15">
        <v>0.13868471399999999</v>
      </c>
    </row>
    <row r="245" spans="1:11" x14ac:dyDescent="0.2">
      <c r="A245" s="17" t="s">
        <v>310</v>
      </c>
      <c r="B245" s="17" t="s">
        <v>174</v>
      </c>
      <c r="C245" s="18">
        <v>45285</v>
      </c>
      <c r="D245" s="17">
        <v>1000000000</v>
      </c>
      <c r="E245" s="17" t="s">
        <v>89</v>
      </c>
      <c r="F245" s="17">
        <v>138684714</v>
      </c>
      <c r="G245" s="17" t="s">
        <v>60</v>
      </c>
      <c r="H245" s="17" t="s">
        <v>209</v>
      </c>
      <c r="I245" s="17" t="s">
        <v>311</v>
      </c>
      <c r="J245" s="17">
        <v>2023</v>
      </c>
      <c r="K245" s="17">
        <v>0.13868471399999999</v>
      </c>
    </row>
    <row r="246" spans="1:11" x14ac:dyDescent="0.2">
      <c r="A246" s="15" t="s">
        <v>312</v>
      </c>
      <c r="B246" s="15" t="s">
        <v>174</v>
      </c>
      <c r="C246" s="16">
        <v>45114</v>
      </c>
      <c r="D246" s="15">
        <v>500000000</v>
      </c>
      <c r="E246" s="15" t="s">
        <v>89</v>
      </c>
      <c r="F246" s="15">
        <v>69342357</v>
      </c>
      <c r="G246" s="15" t="s">
        <v>60</v>
      </c>
      <c r="H246" s="15" t="s">
        <v>181</v>
      </c>
      <c r="I246" s="15" t="s">
        <v>313</v>
      </c>
      <c r="J246" s="15">
        <v>2023</v>
      </c>
      <c r="K246" s="15">
        <v>6.9342356999999993E-2</v>
      </c>
    </row>
    <row r="247" spans="1:11" x14ac:dyDescent="0.2">
      <c r="A247" s="17" t="s">
        <v>314</v>
      </c>
      <c r="B247" s="17" t="s">
        <v>174</v>
      </c>
      <c r="C247" s="18">
        <v>45219</v>
      </c>
      <c r="D247" s="17">
        <v>24000000</v>
      </c>
      <c r="E247" s="17" t="s">
        <v>315</v>
      </c>
      <c r="F247" s="17">
        <v>26304</v>
      </c>
      <c r="G247" s="17" t="s">
        <v>226</v>
      </c>
      <c r="H247" s="17" t="s">
        <v>216</v>
      </c>
      <c r="I247" s="17" t="s">
        <v>316</v>
      </c>
      <c r="J247" s="17">
        <v>2023</v>
      </c>
      <c r="K247" s="17">
        <v>2.6304000000000001E-5</v>
      </c>
    </row>
    <row r="248" spans="1:11" x14ac:dyDescent="0.2">
      <c r="A248" s="15" t="s">
        <v>317</v>
      </c>
      <c r="B248" s="15" t="s">
        <v>174</v>
      </c>
      <c r="C248" s="16">
        <v>45337</v>
      </c>
      <c r="D248" s="15">
        <v>500000000</v>
      </c>
      <c r="E248" s="15" t="s">
        <v>318</v>
      </c>
      <c r="F248" s="15">
        <v>367950000</v>
      </c>
      <c r="G248" s="15" t="s">
        <v>319</v>
      </c>
      <c r="H248" s="15" t="s">
        <v>131</v>
      </c>
      <c r="I248" s="15" t="s">
        <v>320</v>
      </c>
      <c r="J248" s="15">
        <v>2024</v>
      </c>
      <c r="K248" s="15">
        <v>0.36795</v>
      </c>
    </row>
    <row r="249" spans="1:11" x14ac:dyDescent="0.2">
      <c r="A249" s="17" t="s">
        <v>321</v>
      </c>
      <c r="B249" s="17" t="s">
        <v>174</v>
      </c>
      <c r="C249" s="18">
        <v>44529</v>
      </c>
      <c r="D249" s="17">
        <v>750000000</v>
      </c>
      <c r="E249" s="17" t="s">
        <v>322</v>
      </c>
      <c r="F249" s="17">
        <v>133732500</v>
      </c>
      <c r="G249" s="17" t="s">
        <v>323</v>
      </c>
      <c r="H249" s="17" t="s">
        <v>324</v>
      </c>
      <c r="I249" s="17" t="s">
        <v>325</v>
      </c>
      <c r="J249" s="17">
        <v>2021</v>
      </c>
      <c r="K249" s="17">
        <v>0.1337325</v>
      </c>
    </row>
    <row r="250" spans="1:11" x14ac:dyDescent="0.2">
      <c r="A250" s="15" t="s">
        <v>321</v>
      </c>
      <c r="B250" s="15" t="s">
        <v>174</v>
      </c>
      <c r="C250" s="16">
        <v>44529</v>
      </c>
      <c r="D250" s="15">
        <v>750000000</v>
      </c>
      <c r="E250" s="15" t="s">
        <v>322</v>
      </c>
      <c r="F250" s="15">
        <v>133732500</v>
      </c>
      <c r="G250" s="15" t="s">
        <v>323</v>
      </c>
      <c r="H250" s="15" t="s">
        <v>324</v>
      </c>
      <c r="I250" s="15" t="s">
        <v>325</v>
      </c>
      <c r="J250" s="15">
        <v>2021</v>
      </c>
      <c r="K250" s="15">
        <v>0.1337325</v>
      </c>
    </row>
    <row r="251" spans="1:11" x14ac:dyDescent="0.2">
      <c r="A251" s="17" t="s">
        <v>326</v>
      </c>
      <c r="B251" s="17" t="s">
        <v>174</v>
      </c>
      <c r="C251" s="18">
        <v>45153</v>
      </c>
      <c r="D251" s="17">
        <v>750000000</v>
      </c>
      <c r="E251" s="17" t="s">
        <v>322</v>
      </c>
      <c r="F251" s="17">
        <v>152505000</v>
      </c>
      <c r="G251" s="17" t="s">
        <v>323</v>
      </c>
      <c r="H251" s="17" t="s">
        <v>181</v>
      </c>
      <c r="I251" s="17" t="s">
        <v>327</v>
      </c>
      <c r="J251" s="17">
        <v>2023</v>
      </c>
      <c r="K251" s="17">
        <v>0.152505</v>
      </c>
    </row>
    <row r="252" spans="1:11" x14ac:dyDescent="0.2">
      <c r="A252" s="15" t="s">
        <v>326</v>
      </c>
      <c r="B252" s="15" t="s">
        <v>174</v>
      </c>
      <c r="C252" s="16">
        <v>45153</v>
      </c>
      <c r="D252" s="15">
        <v>750000000</v>
      </c>
      <c r="E252" s="15" t="s">
        <v>322</v>
      </c>
      <c r="F252" s="15">
        <v>152505000</v>
      </c>
      <c r="G252" s="15" t="s">
        <v>323</v>
      </c>
      <c r="H252" s="15" t="s">
        <v>181</v>
      </c>
      <c r="I252" s="15" t="s">
        <v>327</v>
      </c>
      <c r="J252" s="15">
        <v>2023</v>
      </c>
      <c r="K252" s="15">
        <v>0.152505</v>
      </c>
    </row>
    <row r="253" spans="1:11" x14ac:dyDescent="0.2">
      <c r="A253" s="17" t="s">
        <v>328</v>
      </c>
      <c r="B253" s="17" t="s">
        <v>174</v>
      </c>
      <c r="C253" s="18">
        <v>45231</v>
      </c>
      <c r="D253" s="17">
        <v>1736385000</v>
      </c>
      <c r="E253" s="17" t="s">
        <v>322</v>
      </c>
      <c r="F253" s="17">
        <v>353076525</v>
      </c>
      <c r="G253" s="17" t="s">
        <v>323</v>
      </c>
      <c r="H253" s="17" t="s">
        <v>201</v>
      </c>
      <c r="I253" s="17" t="s">
        <v>329</v>
      </c>
      <c r="J253" s="17">
        <v>2023</v>
      </c>
      <c r="K253" s="17">
        <v>0.35307652499999997</v>
      </c>
    </row>
    <row r="254" spans="1:11" x14ac:dyDescent="0.2">
      <c r="A254" s="15" t="s">
        <v>330</v>
      </c>
      <c r="B254" s="15" t="s">
        <v>174</v>
      </c>
      <c r="C254" s="16">
        <v>44854</v>
      </c>
      <c r="D254" s="15">
        <v>200000000</v>
      </c>
      <c r="E254" s="15" t="s">
        <v>322</v>
      </c>
      <c r="F254" s="15">
        <v>35662000</v>
      </c>
      <c r="G254" s="15" t="s">
        <v>323</v>
      </c>
      <c r="H254" s="15" t="s">
        <v>206</v>
      </c>
      <c r="I254" s="15" t="s">
        <v>331</v>
      </c>
      <c r="J254" s="15">
        <v>2022</v>
      </c>
      <c r="K254" s="15">
        <v>3.5661999999999999E-2</v>
      </c>
    </row>
    <row r="255" spans="1:11" x14ac:dyDescent="0.2">
      <c r="A255" s="17" t="s">
        <v>330</v>
      </c>
      <c r="B255" s="17" t="s">
        <v>174</v>
      </c>
      <c r="C255" s="18">
        <v>44854</v>
      </c>
      <c r="D255" s="17">
        <v>550000000</v>
      </c>
      <c r="E255" s="17" t="s">
        <v>322</v>
      </c>
      <c r="F255" s="17">
        <v>98070500</v>
      </c>
      <c r="G255" s="17" t="s">
        <v>323</v>
      </c>
      <c r="H255" s="17" t="s">
        <v>206</v>
      </c>
      <c r="I255" s="17" t="s">
        <v>331</v>
      </c>
      <c r="J255" s="17">
        <v>2022</v>
      </c>
      <c r="K255" s="17">
        <v>9.8070500000000005E-2</v>
      </c>
    </row>
    <row r="256" spans="1:11" x14ac:dyDescent="0.2">
      <c r="A256" s="15" t="s">
        <v>332</v>
      </c>
      <c r="B256" s="15" t="s">
        <v>174</v>
      </c>
      <c r="C256" s="16">
        <v>45278</v>
      </c>
      <c r="D256" s="15">
        <v>570000000</v>
      </c>
      <c r="E256" s="15" t="s">
        <v>322</v>
      </c>
      <c r="F256" s="15">
        <v>115903800</v>
      </c>
      <c r="G256" s="15" t="s">
        <v>323</v>
      </c>
      <c r="H256" s="15" t="s">
        <v>181</v>
      </c>
      <c r="I256" s="15" t="s">
        <v>333</v>
      </c>
      <c r="J256" s="15">
        <v>2023</v>
      </c>
      <c r="K256" s="15">
        <v>0.1159038</v>
      </c>
    </row>
    <row r="257" spans="1:11" x14ac:dyDescent="0.2">
      <c r="A257" s="17" t="s">
        <v>334</v>
      </c>
      <c r="B257" s="17" t="s">
        <v>174</v>
      </c>
      <c r="C257" s="18">
        <v>45270</v>
      </c>
      <c r="D257" s="17">
        <v>2000000000</v>
      </c>
      <c r="E257" s="17" t="s">
        <v>322</v>
      </c>
      <c r="F257" s="17">
        <v>406680000</v>
      </c>
      <c r="G257" s="17" t="s">
        <v>323</v>
      </c>
      <c r="H257" s="17" t="s">
        <v>196</v>
      </c>
      <c r="I257" s="17" t="s">
        <v>335</v>
      </c>
      <c r="J257" s="17">
        <v>2023</v>
      </c>
      <c r="K257" s="17">
        <v>0.40667999999999999</v>
      </c>
    </row>
    <row r="258" spans="1:11" x14ac:dyDescent="0.2">
      <c r="A258" s="15" t="s">
        <v>336</v>
      </c>
      <c r="B258" s="15" t="s">
        <v>174</v>
      </c>
      <c r="C258" s="16">
        <v>45245</v>
      </c>
      <c r="D258" s="15">
        <v>700000000</v>
      </c>
      <c r="E258" s="15" t="s">
        <v>322</v>
      </c>
      <c r="F258" s="15">
        <v>139279000</v>
      </c>
      <c r="G258" s="15" t="s">
        <v>323</v>
      </c>
      <c r="H258" s="15" t="s">
        <v>337</v>
      </c>
      <c r="I258" s="15" t="s">
        <v>338</v>
      </c>
      <c r="J258" s="15">
        <v>2023</v>
      </c>
      <c r="K258" s="15">
        <v>0.13927899999999999</v>
      </c>
    </row>
    <row r="259" spans="1:11" x14ac:dyDescent="0.2">
      <c r="A259" s="17" t="s">
        <v>339</v>
      </c>
      <c r="B259" s="17" t="s">
        <v>174</v>
      </c>
      <c r="C259" s="18">
        <v>45148</v>
      </c>
      <c r="D259" s="17">
        <v>20000000</v>
      </c>
      <c r="E259" s="17" t="s">
        <v>54</v>
      </c>
      <c r="F259" s="17">
        <v>22220000</v>
      </c>
      <c r="G259" s="17" t="s">
        <v>340</v>
      </c>
      <c r="H259" s="17" t="s">
        <v>209</v>
      </c>
      <c r="I259" s="17" t="s">
        <v>341</v>
      </c>
      <c r="J259" s="17">
        <v>2023</v>
      </c>
      <c r="K259" s="17">
        <v>2.222E-2</v>
      </c>
    </row>
    <row r="260" spans="1:11" x14ac:dyDescent="0.2">
      <c r="A260" s="15" t="s">
        <v>342</v>
      </c>
      <c r="B260" s="15" t="s">
        <v>174</v>
      </c>
      <c r="C260" s="16">
        <v>44517</v>
      </c>
      <c r="D260" s="15">
        <v>750000000</v>
      </c>
      <c r="E260" s="15" t="s">
        <v>54</v>
      </c>
      <c r="F260" s="15">
        <v>833250000</v>
      </c>
      <c r="G260" s="15" t="s">
        <v>340</v>
      </c>
      <c r="H260" s="15" t="s">
        <v>131</v>
      </c>
      <c r="I260" s="15" t="s">
        <v>343</v>
      </c>
      <c r="J260" s="15">
        <v>2021</v>
      </c>
      <c r="K260" s="15">
        <v>0.83325000000000005</v>
      </c>
    </row>
    <row r="261" spans="1:11" x14ac:dyDescent="0.2">
      <c r="A261" s="17" t="s">
        <v>344</v>
      </c>
      <c r="B261" s="17" t="s">
        <v>174</v>
      </c>
      <c r="C261" s="18">
        <v>45348</v>
      </c>
      <c r="D261" s="17">
        <v>3606129</v>
      </c>
      <c r="E261" s="17" t="s">
        <v>59</v>
      </c>
      <c r="F261" s="17">
        <v>3606129</v>
      </c>
      <c r="G261" s="17" t="s">
        <v>345</v>
      </c>
      <c r="H261" s="17" t="s">
        <v>305</v>
      </c>
      <c r="I261" s="17" t="s">
        <v>346</v>
      </c>
      <c r="J261" s="17">
        <v>2024</v>
      </c>
      <c r="K261" s="17">
        <v>3.606129E-3</v>
      </c>
    </row>
    <row r="262" spans="1:11" x14ac:dyDescent="0.2">
      <c r="A262" s="15" t="s">
        <v>347</v>
      </c>
      <c r="B262" s="15" t="s">
        <v>174</v>
      </c>
      <c r="C262" s="16">
        <v>45352</v>
      </c>
      <c r="D262" s="15">
        <v>38000000</v>
      </c>
      <c r="E262" s="15" t="s">
        <v>89</v>
      </c>
      <c r="F262" s="15">
        <v>5281430</v>
      </c>
      <c r="G262" s="15" t="s">
        <v>60</v>
      </c>
      <c r="H262" s="15" t="s">
        <v>209</v>
      </c>
      <c r="I262" s="15" t="s">
        <v>348</v>
      </c>
      <c r="J262" s="15">
        <v>2024</v>
      </c>
      <c r="K262" s="15">
        <v>5.2814300000000002E-3</v>
      </c>
    </row>
    <row r="263" spans="1:11" x14ac:dyDescent="0.2">
      <c r="A263" s="17" t="s">
        <v>347</v>
      </c>
      <c r="B263" s="17" t="s">
        <v>174</v>
      </c>
      <c r="C263" s="18">
        <v>45352</v>
      </c>
      <c r="D263" s="17">
        <v>110000000</v>
      </c>
      <c r="E263" s="17" t="s">
        <v>89</v>
      </c>
      <c r="F263" s="17">
        <v>15288350</v>
      </c>
      <c r="G263" s="17" t="s">
        <v>60</v>
      </c>
      <c r="H263" s="17" t="s">
        <v>209</v>
      </c>
      <c r="I263" s="17" t="s">
        <v>348</v>
      </c>
      <c r="J263" s="17">
        <v>2024</v>
      </c>
      <c r="K263" s="17">
        <v>1.5288349999999999E-2</v>
      </c>
    </row>
    <row r="264" spans="1:11" x14ac:dyDescent="0.2">
      <c r="A264" s="15" t="s">
        <v>347</v>
      </c>
      <c r="B264" s="15" t="s">
        <v>174</v>
      </c>
      <c r="C264" s="16">
        <v>45352</v>
      </c>
      <c r="D264" s="15">
        <v>320000000</v>
      </c>
      <c r="E264" s="15" t="s">
        <v>89</v>
      </c>
      <c r="F264" s="15">
        <v>44475200</v>
      </c>
      <c r="G264" s="15" t="s">
        <v>60</v>
      </c>
      <c r="H264" s="15" t="s">
        <v>209</v>
      </c>
      <c r="I264" s="15" t="s">
        <v>348</v>
      </c>
      <c r="J264" s="15">
        <v>2024</v>
      </c>
      <c r="K264" s="15">
        <v>4.4475199999999999E-2</v>
      </c>
    </row>
    <row r="265" spans="1:11" x14ac:dyDescent="0.2">
      <c r="A265" s="17" t="s">
        <v>347</v>
      </c>
      <c r="B265" s="17" t="s">
        <v>174</v>
      </c>
      <c r="C265" s="18">
        <v>45352</v>
      </c>
      <c r="D265" s="17">
        <v>289000000</v>
      </c>
      <c r="E265" s="17" t="s">
        <v>89</v>
      </c>
      <c r="F265" s="17">
        <v>40166665</v>
      </c>
      <c r="G265" s="17" t="s">
        <v>60</v>
      </c>
      <c r="H265" s="17" t="s">
        <v>209</v>
      </c>
      <c r="I265" s="17" t="s">
        <v>348</v>
      </c>
      <c r="J265" s="17">
        <v>2024</v>
      </c>
      <c r="K265" s="17">
        <v>4.0166664999999997E-2</v>
      </c>
    </row>
    <row r="266" spans="1:11" x14ac:dyDescent="0.2">
      <c r="A266" s="15" t="s">
        <v>349</v>
      </c>
      <c r="B266" s="15" t="s">
        <v>174</v>
      </c>
      <c r="C266" s="16">
        <v>45352</v>
      </c>
      <c r="D266" s="15">
        <v>175000000</v>
      </c>
      <c r="E266" s="15" t="s">
        <v>89</v>
      </c>
      <c r="F266" s="15">
        <v>24110333</v>
      </c>
      <c r="G266" s="15" t="s">
        <v>60</v>
      </c>
      <c r="H266" s="15" t="s">
        <v>181</v>
      </c>
      <c r="I266" s="15" t="s">
        <v>350</v>
      </c>
      <c r="J266" s="15">
        <v>2024</v>
      </c>
      <c r="K266" s="15">
        <v>2.4110333000000001E-2</v>
      </c>
    </row>
    <row r="267" spans="1:11" x14ac:dyDescent="0.2">
      <c r="A267" s="17" t="s">
        <v>351</v>
      </c>
      <c r="B267" s="17" t="s">
        <v>174</v>
      </c>
      <c r="C267" s="18">
        <v>45308</v>
      </c>
      <c r="D267" s="17">
        <v>500000000</v>
      </c>
      <c r="E267" s="17" t="s">
        <v>89</v>
      </c>
      <c r="F267" s="17">
        <v>69342357</v>
      </c>
      <c r="G267" s="17" t="s">
        <v>60</v>
      </c>
      <c r="H267" s="17" t="s">
        <v>181</v>
      </c>
      <c r="I267" s="17" t="s">
        <v>352</v>
      </c>
      <c r="J267" s="17">
        <v>2024</v>
      </c>
      <c r="K267" s="17">
        <v>6.9342356999999993E-2</v>
      </c>
    </row>
    <row r="268" spans="1:11" x14ac:dyDescent="0.2">
      <c r="A268" s="15" t="s">
        <v>353</v>
      </c>
      <c r="B268" s="15" t="s">
        <v>174</v>
      </c>
      <c r="C268" s="16">
        <v>45320</v>
      </c>
      <c r="D268" s="15">
        <v>250000000</v>
      </c>
      <c r="E268" s="15" t="s">
        <v>89</v>
      </c>
      <c r="F268" s="15">
        <v>34671178</v>
      </c>
      <c r="G268" s="15" t="s">
        <v>60</v>
      </c>
      <c r="H268" s="15" t="s">
        <v>181</v>
      </c>
      <c r="I268" s="15" t="s">
        <v>354</v>
      </c>
      <c r="J268" s="15">
        <v>2024</v>
      </c>
      <c r="K268" s="15">
        <v>3.4671177999999997E-2</v>
      </c>
    </row>
    <row r="269" spans="1:11" x14ac:dyDescent="0.2">
      <c r="A269" s="17" t="s">
        <v>355</v>
      </c>
      <c r="B269" s="17" t="s">
        <v>174</v>
      </c>
      <c r="C269" s="18">
        <v>45323</v>
      </c>
      <c r="D269" s="17">
        <v>250000000</v>
      </c>
      <c r="E269" s="17" t="s">
        <v>89</v>
      </c>
      <c r="F269" s="17">
        <v>34746250</v>
      </c>
      <c r="G269" s="17" t="s">
        <v>60</v>
      </c>
      <c r="H269" s="17" t="s">
        <v>181</v>
      </c>
      <c r="I269" s="17" t="s">
        <v>356</v>
      </c>
      <c r="J269" s="17">
        <v>2024</v>
      </c>
      <c r="K269" s="17">
        <v>3.4746249999999999E-2</v>
      </c>
    </row>
    <row r="270" spans="1:11" x14ac:dyDescent="0.2">
      <c r="A270" s="15" t="s">
        <v>357</v>
      </c>
      <c r="B270" s="15" t="s">
        <v>174</v>
      </c>
      <c r="C270" s="16">
        <v>44992</v>
      </c>
      <c r="D270" s="15">
        <v>600000000</v>
      </c>
      <c r="E270" s="15" t="s">
        <v>89</v>
      </c>
      <c r="F270" s="15">
        <v>83210828</v>
      </c>
      <c r="G270" s="15" t="s">
        <v>60</v>
      </c>
      <c r="H270" s="15" t="s">
        <v>209</v>
      </c>
      <c r="I270" s="15" t="s">
        <v>358</v>
      </c>
      <c r="J270" s="15">
        <v>2023</v>
      </c>
      <c r="K270" s="15">
        <v>8.3210828000000001E-2</v>
      </c>
    </row>
    <row r="271" spans="1:11" x14ac:dyDescent="0.2">
      <c r="A271" s="17" t="s">
        <v>359</v>
      </c>
      <c r="B271" s="17" t="s">
        <v>174</v>
      </c>
      <c r="C271" s="18">
        <v>45370</v>
      </c>
      <c r="D271" s="17">
        <v>600000000</v>
      </c>
      <c r="E271" s="17" t="s">
        <v>89</v>
      </c>
      <c r="F271" s="17">
        <v>82664000</v>
      </c>
      <c r="G271" s="17" t="s">
        <v>60</v>
      </c>
      <c r="H271" s="17" t="s">
        <v>305</v>
      </c>
      <c r="I271" s="17" t="s">
        <v>360</v>
      </c>
      <c r="J271" s="17">
        <v>2024</v>
      </c>
      <c r="K271" s="17">
        <v>8.2664000000000001E-2</v>
      </c>
    </row>
    <row r="272" spans="1:11" x14ac:dyDescent="0.2">
      <c r="A272" s="15" t="s">
        <v>361</v>
      </c>
      <c r="B272" s="15" t="s">
        <v>174</v>
      </c>
      <c r="C272" s="16">
        <v>45279</v>
      </c>
      <c r="D272" s="15">
        <v>1200000000</v>
      </c>
      <c r="E272" s="15" t="s">
        <v>89</v>
      </c>
      <c r="F272" s="15">
        <v>166421656</v>
      </c>
      <c r="G272" s="15" t="s">
        <v>60</v>
      </c>
      <c r="H272" s="15" t="s">
        <v>181</v>
      </c>
      <c r="I272" s="15" t="s">
        <v>362</v>
      </c>
      <c r="J272" s="15">
        <v>2023</v>
      </c>
      <c r="K272" s="15">
        <v>0.166421656</v>
      </c>
    </row>
    <row r="273" spans="1:11" x14ac:dyDescent="0.2">
      <c r="A273" s="17" t="s">
        <v>363</v>
      </c>
      <c r="B273" s="17" t="s">
        <v>174</v>
      </c>
      <c r="C273" s="18">
        <v>45378</v>
      </c>
      <c r="D273" s="17">
        <v>400000000</v>
      </c>
      <c r="E273" s="17" t="s">
        <v>89</v>
      </c>
      <c r="F273" s="17">
        <v>55258400</v>
      </c>
      <c r="G273" s="17" t="s">
        <v>60</v>
      </c>
      <c r="H273" s="17" t="s">
        <v>206</v>
      </c>
      <c r="I273" s="17" t="s">
        <v>364</v>
      </c>
      <c r="J273" s="17">
        <v>2024</v>
      </c>
      <c r="K273" s="17">
        <v>5.5258399999999999E-2</v>
      </c>
    </row>
    <row r="274" spans="1:11" x14ac:dyDescent="0.2">
      <c r="A274" s="15" t="s">
        <v>363</v>
      </c>
      <c r="B274" s="15" t="s">
        <v>174</v>
      </c>
      <c r="C274" s="16">
        <v>45378</v>
      </c>
      <c r="D274" s="15">
        <v>300000000</v>
      </c>
      <c r="E274" s="15" t="s">
        <v>89</v>
      </c>
      <c r="F274" s="15">
        <v>41443800</v>
      </c>
      <c r="G274" s="15" t="s">
        <v>60</v>
      </c>
      <c r="H274" s="15" t="s">
        <v>206</v>
      </c>
      <c r="I274" s="15" t="s">
        <v>364</v>
      </c>
      <c r="J274" s="15">
        <v>2024</v>
      </c>
      <c r="K274" s="15">
        <v>4.1443800000000003E-2</v>
      </c>
    </row>
    <row r="275" spans="1:11" x14ac:dyDescent="0.2">
      <c r="A275" s="17" t="s">
        <v>365</v>
      </c>
      <c r="B275" s="17" t="s">
        <v>174</v>
      </c>
      <c r="C275" s="18">
        <v>45316</v>
      </c>
      <c r="D275" s="17">
        <v>60000000</v>
      </c>
      <c r="E275" s="17" t="s">
        <v>89</v>
      </c>
      <c r="F275" s="17">
        <v>8288760</v>
      </c>
      <c r="G275" s="17" t="s">
        <v>60</v>
      </c>
      <c r="H275" s="17" t="s">
        <v>209</v>
      </c>
      <c r="I275" s="17" t="s">
        <v>366</v>
      </c>
      <c r="J275" s="17">
        <v>2024</v>
      </c>
      <c r="K275" s="17">
        <v>8.2887599999999992E-3</v>
      </c>
    </row>
    <row r="276" spans="1:11" x14ac:dyDescent="0.2">
      <c r="A276" s="15" t="s">
        <v>365</v>
      </c>
      <c r="B276" s="15" t="s">
        <v>174</v>
      </c>
      <c r="C276" s="16">
        <v>45316</v>
      </c>
      <c r="D276" s="15">
        <v>450000000</v>
      </c>
      <c r="E276" s="15" t="s">
        <v>89</v>
      </c>
      <c r="F276" s="15">
        <v>61998000</v>
      </c>
      <c r="G276" s="15" t="s">
        <v>60</v>
      </c>
      <c r="H276" s="15" t="s">
        <v>209</v>
      </c>
      <c r="I276" s="15" t="s">
        <v>366</v>
      </c>
      <c r="J276" s="15">
        <v>2024</v>
      </c>
      <c r="K276" s="15">
        <v>6.1997999999999998E-2</v>
      </c>
    </row>
    <row r="277" spans="1:11" x14ac:dyDescent="0.2">
      <c r="A277" s="17" t="s">
        <v>365</v>
      </c>
      <c r="B277" s="17" t="s">
        <v>174</v>
      </c>
      <c r="C277" s="18">
        <v>45316</v>
      </c>
      <c r="D277" s="17">
        <v>540000000</v>
      </c>
      <c r="E277" s="17" t="s">
        <v>89</v>
      </c>
      <c r="F277" s="17">
        <v>74397600</v>
      </c>
      <c r="G277" s="17" t="s">
        <v>60</v>
      </c>
      <c r="H277" s="17" t="s">
        <v>209</v>
      </c>
      <c r="I277" s="17" t="s">
        <v>366</v>
      </c>
      <c r="J277" s="17">
        <v>2024</v>
      </c>
      <c r="K277" s="17">
        <v>7.4397599999999994E-2</v>
      </c>
    </row>
    <row r="278" spans="1:11" x14ac:dyDescent="0.2">
      <c r="A278" s="15" t="s">
        <v>347</v>
      </c>
      <c r="B278" s="15" t="s">
        <v>174</v>
      </c>
      <c r="C278" s="16">
        <v>45279</v>
      </c>
      <c r="D278" s="15">
        <v>50000000</v>
      </c>
      <c r="E278" s="15" t="s">
        <v>89</v>
      </c>
      <c r="F278" s="15">
        <v>6907300</v>
      </c>
      <c r="G278" s="15" t="s">
        <v>60</v>
      </c>
      <c r="H278" s="15" t="s">
        <v>209</v>
      </c>
      <c r="I278" s="15" t="s">
        <v>348</v>
      </c>
      <c r="J278" s="15">
        <v>2023</v>
      </c>
      <c r="K278" s="15">
        <v>6.9072999999999999E-3</v>
      </c>
    </row>
    <row r="279" spans="1:11" x14ac:dyDescent="0.2">
      <c r="A279" s="17" t="s">
        <v>347</v>
      </c>
      <c r="B279" s="17" t="s">
        <v>174</v>
      </c>
      <c r="C279" s="18">
        <v>45279</v>
      </c>
      <c r="D279" s="17">
        <v>160000000</v>
      </c>
      <c r="E279" s="17" t="s">
        <v>89</v>
      </c>
      <c r="F279" s="17">
        <v>22189554</v>
      </c>
      <c r="G279" s="17" t="s">
        <v>60</v>
      </c>
      <c r="H279" s="17" t="s">
        <v>209</v>
      </c>
      <c r="I279" s="17" t="s">
        <v>348</v>
      </c>
      <c r="J279" s="17">
        <v>2023</v>
      </c>
      <c r="K279" s="17">
        <v>2.2189554E-2</v>
      </c>
    </row>
    <row r="280" spans="1:11" x14ac:dyDescent="0.2">
      <c r="A280" s="15" t="s">
        <v>347</v>
      </c>
      <c r="B280" s="15" t="s">
        <v>174</v>
      </c>
      <c r="C280" s="16">
        <v>45279</v>
      </c>
      <c r="D280" s="15">
        <v>400000000</v>
      </c>
      <c r="E280" s="15" t="s">
        <v>89</v>
      </c>
      <c r="F280" s="15">
        <v>55473885</v>
      </c>
      <c r="G280" s="15" t="s">
        <v>60</v>
      </c>
      <c r="H280" s="15" t="s">
        <v>209</v>
      </c>
      <c r="I280" s="15" t="s">
        <v>348</v>
      </c>
      <c r="J280" s="15">
        <v>2023</v>
      </c>
      <c r="K280" s="15">
        <v>5.5473885000000001E-2</v>
      </c>
    </row>
    <row r="281" spans="1:11" x14ac:dyDescent="0.2">
      <c r="A281" s="17" t="s">
        <v>347</v>
      </c>
      <c r="B281" s="17" t="s">
        <v>174</v>
      </c>
      <c r="C281" s="18">
        <v>45279</v>
      </c>
      <c r="D281" s="17">
        <v>370000000</v>
      </c>
      <c r="E281" s="17" t="s">
        <v>89</v>
      </c>
      <c r="F281" s="17">
        <v>51313344</v>
      </c>
      <c r="G281" s="17" t="s">
        <v>60</v>
      </c>
      <c r="H281" s="17" t="s">
        <v>209</v>
      </c>
      <c r="I281" s="17" t="s">
        <v>348</v>
      </c>
      <c r="J281" s="17">
        <v>2023</v>
      </c>
      <c r="K281" s="17">
        <v>5.1313343999999997E-2</v>
      </c>
    </row>
    <row r="282" spans="1:11" x14ac:dyDescent="0.2">
      <c r="A282" s="15" t="s">
        <v>367</v>
      </c>
      <c r="B282" s="15" t="s">
        <v>174</v>
      </c>
      <c r="C282" s="16">
        <v>45084</v>
      </c>
      <c r="D282" s="15">
        <v>1000000000</v>
      </c>
      <c r="E282" s="15" t="s">
        <v>89</v>
      </c>
      <c r="F282" s="15">
        <v>138684714</v>
      </c>
      <c r="G282" s="15" t="s">
        <v>60</v>
      </c>
      <c r="H282" s="15" t="s">
        <v>209</v>
      </c>
      <c r="I282" s="15" t="s">
        <v>368</v>
      </c>
      <c r="J282" s="15">
        <v>2023</v>
      </c>
      <c r="K282" s="15">
        <v>0.13868471399999999</v>
      </c>
    </row>
    <row r="283" spans="1:11" x14ac:dyDescent="0.2">
      <c r="A283" s="17" t="s">
        <v>369</v>
      </c>
      <c r="B283" s="17" t="s">
        <v>174</v>
      </c>
      <c r="C283" s="18">
        <v>45372</v>
      </c>
      <c r="D283" s="17">
        <v>1000000000</v>
      </c>
      <c r="E283" s="17" t="s">
        <v>89</v>
      </c>
      <c r="F283" s="17">
        <v>137773333</v>
      </c>
      <c r="G283" s="17" t="s">
        <v>60</v>
      </c>
      <c r="H283" s="17" t="s">
        <v>179</v>
      </c>
      <c r="I283" s="17" t="s">
        <v>370</v>
      </c>
      <c r="J283" s="17">
        <v>2024</v>
      </c>
      <c r="K283" s="17">
        <v>0.137773333</v>
      </c>
    </row>
    <row r="284" spans="1:11" x14ac:dyDescent="0.2">
      <c r="A284" s="15" t="s">
        <v>371</v>
      </c>
      <c r="B284" s="15" t="s">
        <v>174</v>
      </c>
      <c r="C284" s="16">
        <v>45362</v>
      </c>
      <c r="D284" s="15">
        <v>1000000000</v>
      </c>
      <c r="E284" s="15" t="s">
        <v>89</v>
      </c>
      <c r="F284" s="15">
        <v>137773333</v>
      </c>
      <c r="G284" s="15" t="s">
        <v>60</v>
      </c>
      <c r="H284" s="15" t="s">
        <v>179</v>
      </c>
      <c r="I284" s="15" t="s">
        <v>372</v>
      </c>
      <c r="J284" s="15">
        <v>2024</v>
      </c>
      <c r="K284" s="15">
        <v>0.137773333</v>
      </c>
    </row>
    <row r="285" spans="1:11" x14ac:dyDescent="0.2">
      <c r="A285" s="17" t="s">
        <v>371</v>
      </c>
      <c r="B285" s="17" t="s">
        <v>174</v>
      </c>
      <c r="C285" s="18">
        <v>45362</v>
      </c>
      <c r="D285" s="17">
        <v>500000000</v>
      </c>
      <c r="E285" s="17" t="s">
        <v>89</v>
      </c>
      <c r="F285" s="17">
        <v>68886666</v>
      </c>
      <c r="G285" s="17" t="s">
        <v>60</v>
      </c>
      <c r="H285" s="17" t="s">
        <v>179</v>
      </c>
      <c r="I285" s="17" t="s">
        <v>372</v>
      </c>
      <c r="J285" s="17">
        <v>2024</v>
      </c>
      <c r="K285" s="17">
        <v>6.8886665999999999E-2</v>
      </c>
    </row>
    <row r="286" spans="1:11" x14ac:dyDescent="0.2">
      <c r="A286" s="15" t="s">
        <v>359</v>
      </c>
      <c r="B286" s="15" t="s">
        <v>174</v>
      </c>
      <c r="C286" s="16">
        <v>45352</v>
      </c>
      <c r="D286" s="15">
        <v>1500000000</v>
      </c>
      <c r="E286" s="15" t="s">
        <v>89</v>
      </c>
      <c r="F286" s="15">
        <v>208477500</v>
      </c>
      <c r="G286" s="15" t="s">
        <v>60</v>
      </c>
      <c r="H286" s="15" t="s">
        <v>179</v>
      </c>
      <c r="I286" s="15" t="s">
        <v>360</v>
      </c>
      <c r="J286" s="15">
        <v>2024</v>
      </c>
      <c r="K286" s="15">
        <v>0.20847750000000001</v>
      </c>
    </row>
    <row r="287" spans="1:11" x14ac:dyDescent="0.2">
      <c r="A287" s="17" t="s">
        <v>373</v>
      </c>
      <c r="B287" s="17" t="s">
        <v>174</v>
      </c>
      <c r="C287" s="18">
        <v>45378</v>
      </c>
      <c r="D287" s="17">
        <v>1000000000</v>
      </c>
      <c r="E287" s="17" t="s">
        <v>89</v>
      </c>
      <c r="F287" s="17">
        <v>137773333</v>
      </c>
      <c r="G287" s="17" t="s">
        <v>60</v>
      </c>
      <c r="H287" s="17" t="s">
        <v>177</v>
      </c>
      <c r="I287" s="17" t="s">
        <v>374</v>
      </c>
      <c r="J287" s="17">
        <v>2024</v>
      </c>
      <c r="K287" s="17">
        <v>0.137773333</v>
      </c>
    </row>
    <row r="288" spans="1:11" x14ac:dyDescent="0.2">
      <c r="A288" s="15" t="s">
        <v>375</v>
      </c>
      <c r="B288" s="15" t="s">
        <v>174</v>
      </c>
      <c r="C288" s="16">
        <v>45370</v>
      </c>
      <c r="D288" s="15">
        <v>1000000000</v>
      </c>
      <c r="E288" s="15" t="s">
        <v>89</v>
      </c>
      <c r="F288" s="15">
        <v>137773333</v>
      </c>
      <c r="G288" s="15" t="s">
        <v>60</v>
      </c>
      <c r="H288" s="15" t="s">
        <v>209</v>
      </c>
      <c r="I288" s="15" t="s">
        <v>376</v>
      </c>
      <c r="J288" s="15">
        <v>2024</v>
      </c>
      <c r="K288" s="15">
        <v>0.137773333</v>
      </c>
    </row>
    <row r="289" spans="1:11" x14ac:dyDescent="0.2">
      <c r="A289" s="17" t="s">
        <v>377</v>
      </c>
      <c r="B289" s="17" t="s">
        <v>174</v>
      </c>
      <c r="C289" s="18">
        <v>45176</v>
      </c>
      <c r="D289" s="17">
        <v>2500000</v>
      </c>
      <c r="E289" s="17" t="s">
        <v>378</v>
      </c>
      <c r="F289" s="17">
        <v>0</v>
      </c>
      <c r="G289" s="17" t="s">
        <v>226</v>
      </c>
      <c r="H289" s="17" t="s">
        <v>179</v>
      </c>
      <c r="I289" s="17" t="s">
        <v>379</v>
      </c>
      <c r="J289" s="17">
        <v>2023</v>
      </c>
      <c r="K289" s="17">
        <v>0</v>
      </c>
    </row>
    <row r="290" spans="1:11" x14ac:dyDescent="0.2">
      <c r="A290" s="15" t="s">
        <v>380</v>
      </c>
      <c r="B290" s="15" t="s">
        <v>53</v>
      </c>
      <c r="C290" s="16">
        <v>45372</v>
      </c>
      <c r="D290" s="15">
        <v>750000000</v>
      </c>
      <c r="E290" s="15" t="s">
        <v>54</v>
      </c>
      <c r="F290" s="15">
        <v>814646250</v>
      </c>
      <c r="G290" s="15" t="s">
        <v>381</v>
      </c>
      <c r="H290" s="15" t="s">
        <v>382</v>
      </c>
      <c r="I290" s="15" t="s">
        <v>383</v>
      </c>
      <c r="J290" s="15">
        <v>2024</v>
      </c>
      <c r="K290" s="15">
        <v>0.81464625000000002</v>
      </c>
    </row>
    <row r="291" spans="1:11" x14ac:dyDescent="0.2">
      <c r="A291" s="17" t="s">
        <v>384</v>
      </c>
      <c r="B291" s="17" t="s">
        <v>68</v>
      </c>
      <c r="C291" s="18">
        <v>45357</v>
      </c>
      <c r="D291" s="17">
        <v>750000000</v>
      </c>
      <c r="E291" s="17" t="s">
        <v>59</v>
      </c>
      <c r="F291" s="17">
        <v>750000000</v>
      </c>
      <c r="G291" s="17" t="s">
        <v>385</v>
      </c>
      <c r="H291" s="17" t="s">
        <v>382</v>
      </c>
      <c r="I291" s="17" t="s">
        <v>386</v>
      </c>
      <c r="J291" s="17">
        <v>2024</v>
      </c>
      <c r="K291" s="17">
        <v>0.75</v>
      </c>
    </row>
    <row r="292" spans="1:11" x14ac:dyDescent="0.2">
      <c r="A292" s="15" t="s">
        <v>387</v>
      </c>
      <c r="B292" s="15" t="s">
        <v>53</v>
      </c>
      <c r="C292" s="16">
        <v>45344</v>
      </c>
      <c r="D292" s="15">
        <v>2000000000</v>
      </c>
      <c r="E292" s="15" t="s">
        <v>54</v>
      </c>
      <c r="F292" s="15">
        <v>2165042000</v>
      </c>
      <c r="G292" s="15" t="s">
        <v>388</v>
      </c>
      <c r="H292" s="15" t="s">
        <v>382</v>
      </c>
      <c r="I292" s="15" t="s">
        <v>389</v>
      </c>
      <c r="J292" s="15">
        <v>2024</v>
      </c>
      <c r="K292" s="15">
        <v>2.1650420000000001</v>
      </c>
    </row>
    <row r="293" spans="1:11" x14ac:dyDescent="0.2">
      <c r="A293" s="17" t="s">
        <v>390</v>
      </c>
      <c r="B293" s="17" t="s">
        <v>68</v>
      </c>
      <c r="C293" s="18">
        <v>45131</v>
      </c>
      <c r="D293" s="17">
        <v>23000000000</v>
      </c>
      <c r="E293" s="17" t="s">
        <v>265</v>
      </c>
      <c r="F293" s="17">
        <v>1362329981</v>
      </c>
      <c r="G293" s="17" t="s">
        <v>266</v>
      </c>
      <c r="H293" s="17" t="s">
        <v>382</v>
      </c>
      <c r="I293" s="17" t="s">
        <v>391</v>
      </c>
      <c r="J293" s="17">
        <v>2023</v>
      </c>
      <c r="K293" s="17">
        <v>1.362329981</v>
      </c>
    </row>
    <row r="294" spans="1:11" x14ac:dyDescent="0.2">
      <c r="A294" s="15" t="s">
        <v>392</v>
      </c>
      <c r="B294" s="15" t="s">
        <v>53</v>
      </c>
      <c r="C294" s="16">
        <v>44092</v>
      </c>
      <c r="D294" s="15">
        <v>4500000000</v>
      </c>
      <c r="E294" s="15" t="s">
        <v>163</v>
      </c>
      <c r="F294" s="15">
        <v>43119685</v>
      </c>
      <c r="G294" s="15" t="s">
        <v>393</v>
      </c>
      <c r="H294" s="15" t="s">
        <v>382</v>
      </c>
      <c r="I294" s="15" t="s">
        <v>394</v>
      </c>
      <c r="J294" s="15">
        <v>2020</v>
      </c>
      <c r="K294" s="15">
        <v>4.3119684999999998E-2</v>
      </c>
    </row>
    <row r="295" spans="1:11" x14ac:dyDescent="0.2">
      <c r="A295" s="17" t="s">
        <v>395</v>
      </c>
      <c r="B295" s="17" t="s">
        <v>68</v>
      </c>
      <c r="C295" s="18">
        <v>45321</v>
      </c>
      <c r="D295" s="17">
        <v>1100000000</v>
      </c>
      <c r="E295" s="17" t="s">
        <v>59</v>
      </c>
      <c r="F295" s="17">
        <v>1100000000</v>
      </c>
      <c r="G295" s="17" t="s">
        <v>396</v>
      </c>
      <c r="H295" s="17" t="s">
        <v>382</v>
      </c>
      <c r="I295" s="17" t="s">
        <v>397</v>
      </c>
      <c r="J295" s="17">
        <v>2024</v>
      </c>
      <c r="K295" s="17">
        <v>1.1000000000000001</v>
      </c>
    </row>
    <row r="296" spans="1:11" x14ac:dyDescent="0.2">
      <c r="A296" s="15" t="s">
        <v>398</v>
      </c>
      <c r="B296" s="15" t="s">
        <v>53</v>
      </c>
      <c r="C296" s="16">
        <v>45043</v>
      </c>
      <c r="D296" s="15">
        <v>110000000</v>
      </c>
      <c r="E296" s="15" t="s">
        <v>54</v>
      </c>
      <c r="F296" s="15">
        <v>121345510</v>
      </c>
      <c r="G296" s="15" t="s">
        <v>399</v>
      </c>
      <c r="H296" s="15" t="s">
        <v>382</v>
      </c>
      <c r="I296" s="15" t="s">
        <v>400</v>
      </c>
      <c r="J296" s="15">
        <v>2023</v>
      </c>
      <c r="K296" s="15">
        <v>0.12134551</v>
      </c>
    </row>
    <row r="297" spans="1:11" x14ac:dyDescent="0.2">
      <c r="A297" s="17" t="s">
        <v>401</v>
      </c>
      <c r="B297" s="17" t="s">
        <v>53</v>
      </c>
      <c r="C297" s="18">
        <v>45211</v>
      </c>
      <c r="D297" s="17">
        <v>4250000000000</v>
      </c>
      <c r="E297" s="17" t="s">
        <v>402</v>
      </c>
      <c r="F297" s="17">
        <v>347648262</v>
      </c>
      <c r="G297" s="17" t="s">
        <v>403</v>
      </c>
      <c r="H297" s="17" t="s">
        <v>382</v>
      </c>
      <c r="I297" s="17" t="s">
        <v>404</v>
      </c>
      <c r="J297" s="17">
        <v>2023</v>
      </c>
      <c r="K297" s="17">
        <v>0.34764826199999999</v>
      </c>
    </row>
    <row r="298" spans="1:11" x14ac:dyDescent="0.2">
      <c r="A298" s="15" t="s">
        <v>405</v>
      </c>
      <c r="B298" s="15" t="s">
        <v>68</v>
      </c>
      <c r="C298" s="16">
        <v>45029</v>
      </c>
      <c r="D298" s="15">
        <v>1000000000</v>
      </c>
      <c r="E298" s="15" t="s">
        <v>54</v>
      </c>
      <c r="F298" s="15">
        <v>1090500000</v>
      </c>
      <c r="G298" s="15" t="s">
        <v>406</v>
      </c>
      <c r="H298" s="15" t="s">
        <v>382</v>
      </c>
      <c r="I298" s="15" t="s">
        <v>407</v>
      </c>
      <c r="J298" s="15">
        <v>2023</v>
      </c>
      <c r="K298" s="15">
        <v>1.0905</v>
      </c>
    </row>
    <row r="299" spans="1:11" x14ac:dyDescent="0.2">
      <c r="A299" s="17" t="s">
        <v>384</v>
      </c>
      <c r="B299" s="17" t="s">
        <v>68</v>
      </c>
      <c r="C299" s="18">
        <v>44980</v>
      </c>
      <c r="D299" s="17">
        <v>1000000000</v>
      </c>
      <c r="E299" s="17" t="s">
        <v>59</v>
      </c>
      <c r="F299" s="17">
        <v>1000000000</v>
      </c>
      <c r="G299" s="17" t="s">
        <v>385</v>
      </c>
      <c r="H299" s="17" t="s">
        <v>382</v>
      </c>
      <c r="I299" s="17" t="s">
        <v>386</v>
      </c>
      <c r="J299" s="17">
        <v>2023</v>
      </c>
      <c r="K299" s="17">
        <v>1</v>
      </c>
    </row>
    <row r="300" spans="1:11" x14ac:dyDescent="0.2">
      <c r="A300" s="15" t="s">
        <v>392</v>
      </c>
      <c r="B300" s="15" t="s">
        <v>53</v>
      </c>
      <c r="C300" s="16">
        <v>45371</v>
      </c>
      <c r="D300" s="15">
        <v>22710250000</v>
      </c>
      <c r="E300" s="15" t="s">
        <v>408</v>
      </c>
      <c r="F300" s="15">
        <v>63043654</v>
      </c>
      <c r="G300" s="15" t="s">
        <v>393</v>
      </c>
      <c r="H300" s="15" t="s">
        <v>382</v>
      </c>
      <c r="I300" s="15" t="s">
        <v>394</v>
      </c>
      <c r="J300" s="15">
        <v>2024</v>
      </c>
      <c r="K300" s="15">
        <v>6.3043654000000005E-2</v>
      </c>
    </row>
    <row r="301" spans="1:11" x14ac:dyDescent="0.2">
      <c r="A301" s="17" t="s">
        <v>409</v>
      </c>
      <c r="B301" s="17" t="s">
        <v>68</v>
      </c>
      <c r="C301" s="18">
        <v>44824</v>
      </c>
      <c r="D301" s="17">
        <v>24419800</v>
      </c>
      <c r="E301" s="17" t="s">
        <v>59</v>
      </c>
      <c r="F301" s="17">
        <v>24419800</v>
      </c>
      <c r="G301" s="17" t="s">
        <v>410</v>
      </c>
      <c r="H301" s="17" t="s">
        <v>382</v>
      </c>
      <c r="I301" s="17" t="s">
        <v>411</v>
      </c>
      <c r="J301" s="17">
        <v>2022</v>
      </c>
      <c r="K301" s="17">
        <v>2.4419799999999998E-2</v>
      </c>
    </row>
    <row r="302" spans="1:11" x14ac:dyDescent="0.2">
      <c r="A302" s="15" t="s">
        <v>409</v>
      </c>
      <c r="B302" s="15" t="s">
        <v>68</v>
      </c>
      <c r="C302" s="16">
        <v>44824</v>
      </c>
      <c r="D302" s="15">
        <v>48839600</v>
      </c>
      <c r="E302" s="15" t="s">
        <v>59</v>
      </c>
      <c r="F302" s="15">
        <v>48839600</v>
      </c>
      <c r="G302" s="15" t="s">
        <v>410</v>
      </c>
      <c r="H302" s="15" t="s">
        <v>382</v>
      </c>
      <c r="I302" s="15" t="s">
        <v>411</v>
      </c>
      <c r="J302" s="15">
        <v>2022</v>
      </c>
      <c r="K302" s="15">
        <v>4.8839599999999997E-2</v>
      </c>
    </row>
    <row r="303" spans="1:11" x14ac:dyDescent="0.2">
      <c r="A303" s="17" t="s">
        <v>412</v>
      </c>
      <c r="B303" s="17" t="s">
        <v>68</v>
      </c>
      <c r="C303" s="18">
        <v>44615</v>
      </c>
      <c r="D303" s="17">
        <v>500000000</v>
      </c>
      <c r="E303" s="17" t="s">
        <v>54</v>
      </c>
      <c r="F303" s="17">
        <v>567200000</v>
      </c>
      <c r="G303" s="17" t="s">
        <v>413</v>
      </c>
      <c r="H303" s="17" t="s">
        <v>382</v>
      </c>
      <c r="I303" s="17" t="s">
        <v>414</v>
      </c>
      <c r="J303" s="17">
        <v>2022</v>
      </c>
      <c r="K303" s="17">
        <v>0.56720000000000004</v>
      </c>
    </row>
    <row r="304" spans="1:11" x14ac:dyDescent="0.2">
      <c r="A304" s="15" t="s">
        <v>415</v>
      </c>
      <c r="B304" s="15" t="s">
        <v>68</v>
      </c>
      <c r="C304" s="16">
        <v>44543</v>
      </c>
      <c r="D304" s="15">
        <v>600000000</v>
      </c>
      <c r="E304" s="15" t="s">
        <v>54</v>
      </c>
      <c r="F304" s="15">
        <v>676680000</v>
      </c>
      <c r="G304" s="15" t="s">
        <v>416</v>
      </c>
      <c r="H304" s="15" t="s">
        <v>382</v>
      </c>
      <c r="I304" s="15" t="s">
        <v>417</v>
      </c>
      <c r="J304" s="15">
        <v>2021</v>
      </c>
      <c r="K304" s="15">
        <v>0.67667999999999995</v>
      </c>
    </row>
    <row r="305" spans="1:11" x14ac:dyDescent="0.2">
      <c r="A305" s="17" t="s">
        <v>418</v>
      </c>
      <c r="B305" s="17" t="s">
        <v>68</v>
      </c>
      <c r="C305" s="18">
        <v>44502</v>
      </c>
      <c r="D305" s="17">
        <v>2250000000</v>
      </c>
      <c r="E305" s="17" t="s">
        <v>59</v>
      </c>
      <c r="F305" s="17">
        <v>2250000000</v>
      </c>
      <c r="G305" s="17" t="s">
        <v>419</v>
      </c>
      <c r="H305" s="17" t="s">
        <v>382</v>
      </c>
      <c r="I305" s="17" t="s">
        <v>420</v>
      </c>
      <c r="J305" s="17">
        <v>2021</v>
      </c>
      <c r="K305" s="17">
        <v>2.25</v>
      </c>
    </row>
    <row r="306" spans="1:11" x14ac:dyDescent="0.2">
      <c r="A306" s="15" t="s">
        <v>421</v>
      </c>
      <c r="B306" s="15" t="s">
        <v>53</v>
      </c>
      <c r="C306" s="16">
        <v>44462</v>
      </c>
      <c r="D306" s="15">
        <v>1000000000</v>
      </c>
      <c r="E306" s="15" t="s">
        <v>54</v>
      </c>
      <c r="F306" s="15">
        <v>1171500000</v>
      </c>
      <c r="G306" s="15" t="s">
        <v>422</v>
      </c>
      <c r="H306" s="15" t="s">
        <v>382</v>
      </c>
      <c r="I306" s="15" t="s">
        <v>423</v>
      </c>
      <c r="J306" s="15">
        <v>2021</v>
      </c>
      <c r="K306" s="15">
        <v>1.1715</v>
      </c>
    </row>
    <row r="307" spans="1:11" x14ac:dyDescent="0.2">
      <c r="A307" s="17" t="s">
        <v>424</v>
      </c>
      <c r="B307" s="17" t="s">
        <v>68</v>
      </c>
      <c r="C307" s="18">
        <v>44592</v>
      </c>
      <c r="D307" s="17">
        <v>1500000000</v>
      </c>
      <c r="E307" s="17" t="s">
        <v>59</v>
      </c>
      <c r="F307" s="17">
        <v>1500000000</v>
      </c>
      <c r="G307" s="17" t="s">
        <v>226</v>
      </c>
      <c r="H307" s="17" t="s">
        <v>382</v>
      </c>
      <c r="I307" s="17" t="s">
        <v>425</v>
      </c>
      <c r="J307" s="17">
        <v>2022</v>
      </c>
      <c r="K307" s="17">
        <v>1.5</v>
      </c>
    </row>
    <row r="308" spans="1:11" x14ac:dyDescent="0.2">
      <c r="A308" s="15" t="s">
        <v>426</v>
      </c>
      <c r="B308" s="15" t="s">
        <v>68</v>
      </c>
      <c r="C308" s="16">
        <v>44462</v>
      </c>
      <c r="D308" s="15">
        <v>500000000</v>
      </c>
      <c r="E308" s="15" t="s">
        <v>54</v>
      </c>
      <c r="F308" s="15">
        <v>585750000</v>
      </c>
      <c r="G308" s="15" t="s">
        <v>427</v>
      </c>
      <c r="H308" s="15" t="s">
        <v>382</v>
      </c>
      <c r="I308" s="15" t="s">
        <v>428</v>
      </c>
      <c r="J308" s="15">
        <v>2021</v>
      </c>
      <c r="K308" s="15">
        <v>0.58574999999999999</v>
      </c>
    </row>
    <row r="309" spans="1:11" x14ac:dyDescent="0.2">
      <c r="A309" s="17" t="s">
        <v>429</v>
      </c>
      <c r="B309" s="17" t="s">
        <v>68</v>
      </c>
      <c r="C309" s="18">
        <v>44453</v>
      </c>
      <c r="D309" s="17">
        <v>400000000</v>
      </c>
      <c r="E309" s="17" t="s">
        <v>192</v>
      </c>
      <c r="F309" s="17">
        <v>554257565</v>
      </c>
      <c r="G309" s="17" t="s">
        <v>430</v>
      </c>
      <c r="H309" s="17" t="s">
        <v>382</v>
      </c>
      <c r="I309" s="17" t="s">
        <v>431</v>
      </c>
      <c r="J309" s="17">
        <v>2021</v>
      </c>
      <c r="K309" s="17">
        <v>0.55425756500000001</v>
      </c>
    </row>
    <row r="310" spans="1:11" x14ac:dyDescent="0.2">
      <c r="A310" s="15" t="s">
        <v>432</v>
      </c>
      <c r="B310" s="15" t="s">
        <v>53</v>
      </c>
      <c r="C310" s="16">
        <v>44487</v>
      </c>
      <c r="D310" s="15">
        <v>700000000</v>
      </c>
      <c r="E310" s="15" t="s">
        <v>54</v>
      </c>
      <c r="F310" s="15">
        <v>812280000</v>
      </c>
      <c r="G310" s="15" t="s">
        <v>114</v>
      </c>
      <c r="H310" s="15" t="s">
        <v>382</v>
      </c>
      <c r="I310" s="15" t="s">
        <v>433</v>
      </c>
      <c r="J310" s="15">
        <v>2021</v>
      </c>
      <c r="K310" s="15">
        <v>0.81228</v>
      </c>
    </row>
    <row r="311" spans="1:11" x14ac:dyDescent="0.2">
      <c r="A311" s="17" t="s">
        <v>424</v>
      </c>
      <c r="B311" s="17" t="s">
        <v>434</v>
      </c>
      <c r="C311" s="18">
        <v>44376</v>
      </c>
      <c r="D311" s="17"/>
      <c r="E311" s="17" t="s">
        <v>54</v>
      </c>
      <c r="F311" s="17">
        <v>1192680000</v>
      </c>
      <c r="G311" s="17" t="s">
        <v>226</v>
      </c>
      <c r="H311" s="17" t="s">
        <v>382</v>
      </c>
      <c r="I311" s="17" t="s">
        <v>425</v>
      </c>
      <c r="J311" s="17">
        <v>2021</v>
      </c>
      <c r="K311" s="17">
        <v>1.19268</v>
      </c>
    </row>
    <row r="312" spans="1:11" x14ac:dyDescent="0.2">
      <c r="A312" s="15" t="s">
        <v>424</v>
      </c>
      <c r="B312" s="15" t="s">
        <v>68</v>
      </c>
      <c r="C312" s="16">
        <v>44301</v>
      </c>
      <c r="D312" s="15">
        <v>1500000000</v>
      </c>
      <c r="E312" s="15" t="s">
        <v>59</v>
      </c>
      <c r="F312" s="15">
        <v>1500000000</v>
      </c>
      <c r="G312" s="15" t="s">
        <v>226</v>
      </c>
      <c r="H312" s="15" t="s">
        <v>382</v>
      </c>
      <c r="I312" s="15" t="s">
        <v>425</v>
      </c>
      <c r="J312" s="15">
        <v>2021</v>
      </c>
      <c r="K312" s="15">
        <v>1.5</v>
      </c>
    </row>
    <row r="313" spans="1:11" x14ac:dyDescent="0.2">
      <c r="A313" s="17" t="s">
        <v>435</v>
      </c>
      <c r="B313" s="17" t="s">
        <v>68</v>
      </c>
      <c r="C313" s="18">
        <v>44399</v>
      </c>
      <c r="D313" s="17">
        <v>588140000</v>
      </c>
      <c r="E313" s="17" t="s">
        <v>54</v>
      </c>
      <c r="F313" s="17">
        <v>692534850</v>
      </c>
      <c r="G313" s="17" t="s">
        <v>436</v>
      </c>
      <c r="H313" s="17" t="s">
        <v>382</v>
      </c>
      <c r="I313" s="17" t="s">
        <v>437</v>
      </c>
      <c r="J313" s="17">
        <v>2021</v>
      </c>
      <c r="K313" s="17">
        <v>0.69253485000000004</v>
      </c>
    </row>
    <row r="314" spans="1:11" x14ac:dyDescent="0.2">
      <c r="A314" s="15" t="s">
        <v>390</v>
      </c>
      <c r="B314" s="15" t="s">
        <v>68</v>
      </c>
      <c r="C314" s="16">
        <v>44389</v>
      </c>
      <c r="D314" s="15">
        <v>1250000000</v>
      </c>
      <c r="E314" s="15" t="s">
        <v>54</v>
      </c>
      <c r="F314" s="15">
        <v>1481500000</v>
      </c>
      <c r="G314" s="15" t="s">
        <v>266</v>
      </c>
      <c r="H314" s="15" t="s">
        <v>382</v>
      </c>
      <c r="I314" s="15" t="s">
        <v>391</v>
      </c>
      <c r="J314" s="15">
        <v>2021</v>
      </c>
      <c r="K314" s="15">
        <v>1.4815</v>
      </c>
    </row>
    <row r="315" spans="1:11" x14ac:dyDescent="0.2">
      <c r="A315" s="17" t="s">
        <v>412</v>
      </c>
      <c r="B315" s="17" t="s">
        <v>68</v>
      </c>
      <c r="C315" s="18">
        <v>44322</v>
      </c>
      <c r="D315" s="17">
        <v>500000000</v>
      </c>
      <c r="E315" s="17" t="s">
        <v>54</v>
      </c>
      <c r="F315" s="17">
        <v>603000000</v>
      </c>
      <c r="G315" s="17" t="s">
        <v>413</v>
      </c>
      <c r="H315" s="17" t="s">
        <v>382</v>
      </c>
      <c r="I315" s="17" t="s">
        <v>414</v>
      </c>
      <c r="J315" s="17">
        <v>2021</v>
      </c>
      <c r="K315" s="17">
        <v>0.60299999999999998</v>
      </c>
    </row>
    <row r="316" spans="1:11" x14ac:dyDescent="0.2">
      <c r="A316" s="15" t="s">
        <v>424</v>
      </c>
      <c r="B316" s="15" t="s">
        <v>434</v>
      </c>
      <c r="C316" s="16">
        <v>44404</v>
      </c>
      <c r="D316" s="15">
        <v>500000000</v>
      </c>
      <c r="E316" s="15" t="s">
        <v>59</v>
      </c>
      <c r="F316" s="15">
        <v>500000000</v>
      </c>
      <c r="G316" s="15" t="s">
        <v>226</v>
      </c>
      <c r="H316" s="15" t="s">
        <v>382</v>
      </c>
      <c r="I316" s="15" t="s">
        <v>425</v>
      </c>
      <c r="J316" s="15">
        <v>2021</v>
      </c>
      <c r="K316" s="15">
        <v>0.5</v>
      </c>
    </row>
    <row r="317" spans="1:11" x14ac:dyDescent="0.2">
      <c r="A317" s="17" t="s">
        <v>424</v>
      </c>
      <c r="B317" s="17" t="s">
        <v>434</v>
      </c>
      <c r="C317" s="18">
        <v>44218</v>
      </c>
      <c r="D317" s="17">
        <v>1250000000</v>
      </c>
      <c r="E317" s="17" t="s">
        <v>54</v>
      </c>
      <c r="F317" s="17">
        <v>1519750000</v>
      </c>
      <c r="G317" s="17" t="s">
        <v>226</v>
      </c>
      <c r="H317" s="17" t="s">
        <v>382</v>
      </c>
      <c r="I317" s="17" t="s">
        <v>425</v>
      </c>
      <c r="J317" s="17">
        <v>2021</v>
      </c>
      <c r="K317" s="17">
        <v>1.5197499999999999</v>
      </c>
    </row>
    <row r="318" spans="1:11" x14ac:dyDescent="0.2">
      <c r="A318" s="15" t="s">
        <v>438</v>
      </c>
      <c r="B318" s="15" t="s">
        <v>53</v>
      </c>
      <c r="C318" s="16">
        <v>44110</v>
      </c>
      <c r="D318" s="15">
        <v>750000000</v>
      </c>
      <c r="E318" s="15" t="s">
        <v>59</v>
      </c>
      <c r="F318" s="15">
        <v>750000000</v>
      </c>
      <c r="G318" s="15" t="s">
        <v>439</v>
      </c>
      <c r="H318" s="15" t="s">
        <v>382</v>
      </c>
      <c r="I318" s="15" t="s">
        <v>440</v>
      </c>
      <c r="J318" s="15">
        <v>2020</v>
      </c>
      <c r="K318" s="15">
        <v>0.75</v>
      </c>
    </row>
    <row r="319" spans="1:11" x14ac:dyDescent="0.2">
      <c r="A319" s="17" t="s">
        <v>441</v>
      </c>
      <c r="B319" s="17" t="s">
        <v>53</v>
      </c>
      <c r="C319" s="18">
        <v>44083</v>
      </c>
      <c r="D319" s="17">
        <v>20000000000</v>
      </c>
      <c r="E319" s="17" t="s">
        <v>80</v>
      </c>
      <c r="F319" s="17">
        <v>2272341246</v>
      </c>
      <c r="G319" s="17" t="s">
        <v>171</v>
      </c>
      <c r="H319" s="17" t="s">
        <v>382</v>
      </c>
      <c r="I319" s="17" t="s">
        <v>442</v>
      </c>
      <c r="J319" s="17">
        <v>2020</v>
      </c>
      <c r="K319" s="17">
        <v>2.2723412459999999</v>
      </c>
    </row>
    <row r="320" spans="1:11" x14ac:dyDescent="0.2">
      <c r="A320" s="15" t="s">
        <v>392</v>
      </c>
      <c r="B320" s="15" t="s">
        <v>53</v>
      </c>
      <c r="C320" s="16">
        <v>45316</v>
      </c>
      <c r="D320" s="15">
        <v>1500000000</v>
      </c>
      <c r="E320" s="15" t="s">
        <v>54</v>
      </c>
      <c r="F320" s="15">
        <v>1627737000</v>
      </c>
      <c r="G320" s="15" t="s">
        <v>393</v>
      </c>
      <c r="H320" s="15" t="s">
        <v>382</v>
      </c>
      <c r="I320" s="15" t="s">
        <v>394</v>
      </c>
      <c r="J320" s="15">
        <v>2024</v>
      </c>
      <c r="K320" s="15">
        <v>1.627737</v>
      </c>
    </row>
    <row r="321" spans="1:11" x14ac:dyDescent="0.2">
      <c r="A321" s="17" t="s">
        <v>390</v>
      </c>
      <c r="B321" s="17" t="s">
        <v>68</v>
      </c>
      <c r="C321" s="18">
        <v>44092</v>
      </c>
      <c r="D321" s="17">
        <v>750000000</v>
      </c>
      <c r="E321" s="17" t="s">
        <v>54</v>
      </c>
      <c r="F321" s="17">
        <v>887475000</v>
      </c>
      <c r="G321" s="17" t="s">
        <v>266</v>
      </c>
      <c r="H321" s="17" t="s">
        <v>382</v>
      </c>
      <c r="I321" s="17" t="s">
        <v>391</v>
      </c>
      <c r="J321" s="17">
        <v>2020</v>
      </c>
      <c r="K321" s="17">
        <v>0.88747500000000001</v>
      </c>
    </row>
    <row r="322" spans="1:11" x14ac:dyDescent="0.2">
      <c r="A322" s="15" t="s">
        <v>424</v>
      </c>
      <c r="B322" s="15" t="s">
        <v>53</v>
      </c>
      <c r="C322" s="16">
        <v>43859</v>
      </c>
      <c r="D322" s="15">
        <v>693685000</v>
      </c>
      <c r="E322" s="15" t="s">
        <v>54</v>
      </c>
      <c r="F322" s="15">
        <v>763122868</v>
      </c>
      <c r="G322" s="15" t="s">
        <v>226</v>
      </c>
      <c r="H322" s="15" t="s">
        <v>382</v>
      </c>
      <c r="I322" s="15" t="s">
        <v>425</v>
      </c>
      <c r="J322" s="15">
        <v>2020</v>
      </c>
      <c r="K322" s="15">
        <v>0.76312286799999995</v>
      </c>
    </row>
    <row r="323" spans="1:11" x14ac:dyDescent="0.2">
      <c r="A323" s="17" t="s">
        <v>443</v>
      </c>
      <c r="B323" s="17" t="s">
        <v>434</v>
      </c>
      <c r="C323" s="18">
        <v>43860</v>
      </c>
      <c r="D323" s="17">
        <v>400000000</v>
      </c>
      <c r="E323" s="17" t="s">
        <v>59</v>
      </c>
      <c r="F323" s="17">
        <v>400000000</v>
      </c>
      <c r="G323" s="17" t="s">
        <v>443</v>
      </c>
      <c r="H323" s="17" t="s">
        <v>382</v>
      </c>
      <c r="I323" s="17" t="s">
        <v>444</v>
      </c>
      <c r="J323" s="17">
        <v>2020</v>
      </c>
      <c r="K323" s="17">
        <v>0.4</v>
      </c>
    </row>
    <row r="324" spans="1:11" x14ac:dyDescent="0.2">
      <c r="A324" s="15" t="s">
        <v>445</v>
      </c>
      <c r="B324" s="15" t="s">
        <v>53</v>
      </c>
      <c r="C324" s="16">
        <v>43138</v>
      </c>
      <c r="D324" s="15">
        <v>1000000000</v>
      </c>
      <c r="E324" s="15" t="s">
        <v>54</v>
      </c>
      <c r="F324" s="15">
        <v>1244200000</v>
      </c>
      <c r="G324" s="15" t="s">
        <v>446</v>
      </c>
      <c r="H324" s="15" t="s">
        <v>382</v>
      </c>
      <c r="I324" s="15" t="s">
        <v>447</v>
      </c>
      <c r="J324" s="15">
        <v>2018</v>
      </c>
      <c r="K324" s="15">
        <v>1.2442</v>
      </c>
    </row>
    <row r="325" spans="1:11" x14ac:dyDescent="0.2">
      <c r="A325" s="17" t="s">
        <v>445</v>
      </c>
      <c r="B325" s="17" t="s">
        <v>53</v>
      </c>
      <c r="C325" s="18">
        <v>42724</v>
      </c>
      <c r="D325" s="17">
        <v>750000000</v>
      </c>
      <c r="E325" s="17" t="s">
        <v>54</v>
      </c>
      <c r="F325" s="17">
        <v>779100000</v>
      </c>
      <c r="G325" s="17" t="s">
        <v>446</v>
      </c>
      <c r="H325" s="17" t="s">
        <v>382</v>
      </c>
      <c r="I325" s="17" t="s">
        <v>447</v>
      </c>
      <c r="J325" s="17">
        <v>2016</v>
      </c>
      <c r="K325" s="17">
        <v>0.77910000000000001</v>
      </c>
    </row>
    <row r="326" spans="1:11" x14ac:dyDescent="0.2">
      <c r="A326" s="15" t="s">
        <v>448</v>
      </c>
      <c r="B326" s="15" t="s">
        <v>53</v>
      </c>
      <c r="C326" s="16">
        <v>43402</v>
      </c>
      <c r="D326" s="15">
        <v>15000000</v>
      </c>
      <c r="E326" s="15" t="s">
        <v>59</v>
      </c>
      <c r="F326" s="15">
        <v>15000000</v>
      </c>
      <c r="G326" s="15" t="s">
        <v>449</v>
      </c>
      <c r="H326" s="15" t="s">
        <v>382</v>
      </c>
      <c r="I326" s="15" t="s">
        <v>450</v>
      </c>
      <c r="J326" s="15">
        <v>2018</v>
      </c>
      <c r="K326" s="15">
        <v>1.4999999999999999E-2</v>
      </c>
    </row>
    <row r="327" spans="1:11" x14ac:dyDescent="0.2">
      <c r="A327" s="17" t="s">
        <v>424</v>
      </c>
      <c r="B327" s="17" t="s">
        <v>53</v>
      </c>
      <c r="C327" s="18">
        <v>44218</v>
      </c>
      <c r="D327" s="17">
        <v>400000000</v>
      </c>
      <c r="E327" s="17" t="s">
        <v>54</v>
      </c>
      <c r="F327" s="17">
        <v>485700000</v>
      </c>
      <c r="G327" s="17" t="s">
        <v>226</v>
      </c>
      <c r="H327" s="17" t="s">
        <v>382</v>
      </c>
      <c r="I327" s="17" t="s">
        <v>425</v>
      </c>
      <c r="J327" s="17">
        <v>2021</v>
      </c>
      <c r="K327" s="17">
        <v>0.48570000000000002</v>
      </c>
    </row>
    <row r="328" spans="1:11" x14ac:dyDescent="0.2">
      <c r="A328" s="15" t="s">
        <v>424</v>
      </c>
      <c r="B328" s="15" t="s">
        <v>53</v>
      </c>
      <c r="C328" s="16">
        <v>43857</v>
      </c>
      <c r="D328" s="15">
        <v>750000000</v>
      </c>
      <c r="E328" s="15" t="s">
        <v>59</v>
      </c>
      <c r="F328" s="15">
        <v>750000000</v>
      </c>
      <c r="G328" s="15" t="s">
        <v>226</v>
      </c>
      <c r="H328" s="15" t="s">
        <v>382</v>
      </c>
      <c r="I328" s="15" t="s">
        <v>425</v>
      </c>
      <c r="J328" s="15">
        <v>2020</v>
      </c>
      <c r="K328" s="15">
        <v>0.75</v>
      </c>
    </row>
    <row r="329" spans="1:11" x14ac:dyDescent="0.2">
      <c r="A329" s="17" t="s">
        <v>424</v>
      </c>
      <c r="B329" s="17" t="s">
        <v>53</v>
      </c>
      <c r="C329" s="18">
        <v>43633</v>
      </c>
      <c r="D329" s="17">
        <v>1418000000</v>
      </c>
      <c r="E329" s="17" t="s">
        <v>59</v>
      </c>
      <c r="F329" s="17">
        <v>1418000000</v>
      </c>
      <c r="G329" s="17" t="s">
        <v>226</v>
      </c>
      <c r="H329" s="17" t="s">
        <v>382</v>
      </c>
      <c r="I329" s="17" t="s">
        <v>425</v>
      </c>
      <c r="J329" s="17">
        <v>2019</v>
      </c>
      <c r="K329" s="17">
        <v>1.4179999999999999</v>
      </c>
    </row>
    <row r="330" spans="1:11" x14ac:dyDescent="0.2">
      <c r="A330" s="15" t="s">
        <v>445</v>
      </c>
      <c r="B330" s="15" t="s">
        <v>53</v>
      </c>
      <c r="C330" s="16">
        <v>43531</v>
      </c>
      <c r="D330" s="15">
        <v>1500000000</v>
      </c>
      <c r="E330" s="15" t="s">
        <v>54</v>
      </c>
      <c r="F330" s="15">
        <v>1678950000</v>
      </c>
      <c r="G330" s="15" t="s">
        <v>446</v>
      </c>
      <c r="H330" s="15" t="s">
        <v>382</v>
      </c>
      <c r="I330" s="15" t="s">
        <v>447</v>
      </c>
      <c r="J330" s="15">
        <v>2019</v>
      </c>
      <c r="K330" s="15">
        <v>1.6789499999999999</v>
      </c>
    </row>
    <row r="331" spans="1:11" x14ac:dyDescent="0.2">
      <c r="A331" s="17" t="s">
        <v>445</v>
      </c>
      <c r="B331" s="17" t="s">
        <v>53</v>
      </c>
      <c r="C331" s="18">
        <v>43531</v>
      </c>
      <c r="D331" s="17">
        <v>500000000</v>
      </c>
      <c r="E331" s="17" t="s">
        <v>54</v>
      </c>
      <c r="F331" s="17">
        <v>559650000</v>
      </c>
      <c r="G331" s="17" t="s">
        <v>446</v>
      </c>
      <c r="H331" s="17" t="s">
        <v>382</v>
      </c>
      <c r="I331" s="17" t="s">
        <v>447</v>
      </c>
      <c r="J331" s="17">
        <v>2019</v>
      </c>
      <c r="K331" s="17">
        <v>0.55964999999999998</v>
      </c>
    </row>
    <row r="332" spans="1:11" x14ac:dyDescent="0.2">
      <c r="A332" s="15" t="s">
        <v>451</v>
      </c>
      <c r="B332" s="15" t="s">
        <v>68</v>
      </c>
      <c r="C332" s="16">
        <v>44649</v>
      </c>
      <c r="D332" s="15">
        <v>1000000000</v>
      </c>
      <c r="E332" s="15" t="s">
        <v>59</v>
      </c>
      <c r="F332" s="15">
        <v>1000000000</v>
      </c>
      <c r="G332" s="15" t="s">
        <v>452</v>
      </c>
      <c r="H332" s="15" t="s">
        <v>382</v>
      </c>
      <c r="I332" s="15" t="s">
        <v>453</v>
      </c>
      <c r="J332" s="15">
        <v>2022</v>
      </c>
      <c r="K332" s="15">
        <v>1</v>
      </c>
    </row>
    <row r="333" spans="1:11" x14ac:dyDescent="0.2">
      <c r="A333" s="17" t="s">
        <v>454</v>
      </c>
      <c r="B333" s="17" t="s">
        <v>68</v>
      </c>
      <c r="C333" s="18">
        <v>44314</v>
      </c>
      <c r="D333" s="17">
        <v>500000000</v>
      </c>
      <c r="E333" s="17" t="s">
        <v>59</v>
      </c>
      <c r="F333" s="17">
        <v>500000000</v>
      </c>
      <c r="G333" s="17" t="s">
        <v>258</v>
      </c>
      <c r="H333" s="17" t="s">
        <v>382</v>
      </c>
      <c r="I333" s="17" t="s">
        <v>455</v>
      </c>
      <c r="J333" s="17">
        <v>2021</v>
      </c>
      <c r="K333" s="17">
        <v>0.5</v>
      </c>
    </row>
    <row r="334" spans="1:11" x14ac:dyDescent="0.2">
      <c r="A334" s="15" t="s">
        <v>454</v>
      </c>
      <c r="B334" s="15" t="s">
        <v>68</v>
      </c>
      <c r="C334" s="16">
        <v>44314</v>
      </c>
      <c r="D334" s="15">
        <v>800000000</v>
      </c>
      <c r="E334" s="15" t="s">
        <v>59</v>
      </c>
      <c r="F334" s="15">
        <v>800000000</v>
      </c>
      <c r="G334" s="15" t="s">
        <v>258</v>
      </c>
      <c r="H334" s="15" t="s">
        <v>382</v>
      </c>
      <c r="I334" s="15" t="s">
        <v>455</v>
      </c>
      <c r="J334" s="15">
        <v>2021</v>
      </c>
      <c r="K334" s="15">
        <v>0.8</v>
      </c>
    </row>
    <row r="335" spans="1:11" x14ac:dyDescent="0.2">
      <c r="A335" s="17" t="s">
        <v>456</v>
      </c>
      <c r="B335" s="17" t="s">
        <v>53</v>
      </c>
      <c r="C335" s="18">
        <v>44524</v>
      </c>
      <c r="D335" s="17">
        <v>1250000000</v>
      </c>
      <c r="E335" s="17" t="s">
        <v>54</v>
      </c>
      <c r="F335" s="17">
        <v>1400750000</v>
      </c>
      <c r="G335" s="17" t="s">
        <v>105</v>
      </c>
      <c r="H335" s="17" t="s">
        <v>382</v>
      </c>
      <c r="I335" s="17" t="s">
        <v>457</v>
      </c>
      <c r="J335" s="17">
        <v>2021</v>
      </c>
      <c r="K335" s="17">
        <v>1.4007499999999999</v>
      </c>
    </row>
    <row r="336" spans="1:11" x14ac:dyDescent="0.2">
      <c r="A336" s="15" t="s">
        <v>456</v>
      </c>
      <c r="B336" s="15" t="s">
        <v>53</v>
      </c>
      <c r="C336" s="16">
        <v>44524</v>
      </c>
      <c r="D336" s="15">
        <v>1000000000</v>
      </c>
      <c r="E336" s="15" t="s">
        <v>59</v>
      </c>
      <c r="F336" s="15">
        <v>1000000000</v>
      </c>
      <c r="G336" s="15" t="s">
        <v>105</v>
      </c>
      <c r="H336" s="15" t="s">
        <v>382</v>
      </c>
      <c r="I336" s="15" t="s">
        <v>457</v>
      </c>
      <c r="J336" s="15">
        <v>2021</v>
      </c>
      <c r="K336" s="15">
        <v>1</v>
      </c>
    </row>
    <row r="337" spans="1:11" x14ac:dyDescent="0.2">
      <c r="A337" s="17" t="s">
        <v>456</v>
      </c>
      <c r="B337" s="17" t="s">
        <v>53</v>
      </c>
      <c r="C337" s="18">
        <v>44699</v>
      </c>
      <c r="D337" s="17">
        <v>20000000000</v>
      </c>
      <c r="E337" s="17" t="s">
        <v>81</v>
      </c>
      <c r="F337" s="17">
        <v>2548219540</v>
      </c>
      <c r="G337" s="17" t="s">
        <v>105</v>
      </c>
      <c r="H337" s="17" t="s">
        <v>382</v>
      </c>
      <c r="I337" s="17" t="s">
        <v>457</v>
      </c>
      <c r="J337" s="17">
        <v>2022</v>
      </c>
      <c r="K337" s="17">
        <v>2.5482195399999998</v>
      </c>
    </row>
    <row r="338" spans="1:11" x14ac:dyDescent="0.2">
      <c r="A338" s="15" t="s">
        <v>456</v>
      </c>
      <c r="B338" s="15" t="s">
        <v>53</v>
      </c>
      <c r="C338" s="16">
        <v>45084</v>
      </c>
      <c r="D338" s="15">
        <v>750000000</v>
      </c>
      <c r="E338" s="15" t="s">
        <v>54</v>
      </c>
      <c r="F338" s="15">
        <v>803031750</v>
      </c>
      <c r="G338" s="15" t="s">
        <v>105</v>
      </c>
      <c r="H338" s="15" t="s">
        <v>382</v>
      </c>
      <c r="I338" s="15" t="s">
        <v>457</v>
      </c>
      <c r="J338" s="15">
        <v>2023</v>
      </c>
      <c r="K338" s="15">
        <v>0.80303175000000004</v>
      </c>
    </row>
    <row r="339" spans="1:11" x14ac:dyDescent="0.2">
      <c r="A339" s="17" t="s">
        <v>456</v>
      </c>
      <c r="B339" s="17" t="s">
        <v>53</v>
      </c>
      <c r="C339" s="18">
        <v>45084</v>
      </c>
      <c r="D339" s="17">
        <v>500000000</v>
      </c>
      <c r="E339" s="17" t="s">
        <v>59</v>
      </c>
      <c r="F339" s="17">
        <v>500000000</v>
      </c>
      <c r="G339" s="17" t="s">
        <v>105</v>
      </c>
      <c r="H339" s="17" t="s">
        <v>382</v>
      </c>
      <c r="I339" s="17" t="s">
        <v>457</v>
      </c>
      <c r="J339" s="17">
        <v>2023</v>
      </c>
      <c r="K339" s="17">
        <v>0.5</v>
      </c>
    </row>
    <row r="340" spans="1:11" x14ac:dyDescent="0.2">
      <c r="A340" s="15" t="s">
        <v>456</v>
      </c>
      <c r="B340" s="15" t="s">
        <v>53</v>
      </c>
      <c r="C340" s="16">
        <v>45084</v>
      </c>
      <c r="D340" s="15">
        <v>6000000000</v>
      </c>
      <c r="E340" s="15" t="s">
        <v>89</v>
      </c>
      <c r="F340" s="15">
        <v>841536000</v>
      </c>
      <c r="G340" s="15" t="s">
        <v>105</v>
      </c>
      <c r="H340" s="15" t="s">
        <v>382</v>
      </c>
      <c r="I340" s="15" t="s">
        <v>457</v>
      </c>
      <c r="J340" s="15">
        <v>2023</v>
      </c>
      <c r="K340" s="15">
        <v>0.84153599999999995</v>
      </c>
    </row>
    <row r="341" spans="1:11" x14ac:dyDescent="0.2">
      <c r="A341" s="17" t="s">
        <v>456</v>
      </c>
      <c r="B341" s="17" t="s">
        <v>53</v>
      </c>
      <c r="C341" s="18">
        <v>45084</v>
      </c>
      <c r="D341" s="17">
        <v>6000000000</v>
      </c>
      <c r="E341" s="17" t="s">
        <v>89</v>
      </c>
      <c r="F341" s="17">
        <v>841536000</v>
      </c>
      <c r="G341" s="17" t="s">
        <v>105</v>
      </c>
      <c r="H341" s="17" t="s">
        <v>382</v>
      </c>
      <c r="I341" s="17" t="s">
        <v>457</v>
      </c>
      <c r="J341" s="17">
        <v>2023</v>
      </c>
      <c r="K341" s="17">
        <v>0.84153599999999995</v>
      </c>
    </row>
    <row r="342" spans="1:11" x14ac:dyDescent="0.2">
      <c r="A342" s="15" t="s">
        <v>456</v>
      </c>
      <c r="B342" s="15" t="s">
        <v>53</v>
      </c>
      <c r="C342" s="16">
        <v>45329</v>
      </c>
      <c r="D342" s="15">
        <v>1500000000</v>
      </c>
      <c r="E342" s="15" t="s">
        <v>89</v>
      </c>
      <c r="F342" s="15">
        <v>211089000</v>
      </c>
      <c r="G342" s="15" t="s">
        <v>105</v>
      </c>
      <c r="H342" s="15" t="s">
        <v>382</v>
      </c>
      <c r="I342" s="15" t="s">
        <v>457</v>
      </c>
      <c r="J342" s="15">
        <v>2024</v>
      </c>
      <c r="K342" s="15">
        <v>0.211089</v>
      </c>
    </row>
    <row r="343" spans="1:11" x14ac:dyDescent="0.2">
      <c r="A343" s="17" t="s">
        <v>456</v>
      </c>
      <c r="B343" s="17" t="s">
        <v>53</v>
      </c>
      <c r="C343" s="18">
        <v>45329</v>
      </c>
      <c r="D343" s="17">
        <v>200000000</v>
      </c>
      <c r="E343" s="17" t="s">
        <v>59</v>
      </c>
      <c r="F343" s="17">
        <v>200000000</v>
      </c>
      <c r="G343" s="17" t="s">
        <v>105</v>
      </c>
      <c r="H343" s="17" t="s">
        <v>382</v>
      </c>
      <c r="I343" s="17" t="s">
        <v>457</v>
      </c>
      <c r="J343" s="17">
        <v>2024</v>
      </c>
      <c r="K343" s="17">
        <v>0.2</v>
      </c>
    </row>
    <row r="344" spans="1:11" x14ac:dyDescent="0.2">
      <c r="A344" s="15" t="s">
        <v>456</v>
      </c>
      <c r="B344" s="15" t="s">
        <v>53</v>
      </c>
      <c r="C344" s="16">
        <v>45329</v>
      </c>
      <c r="D344" s="15">
        <v>2000000000</v>
      </c>
      <c r="E344" s="15" t="s">
        <v>81</v>
      </c>
      <c r="F344" s="15">
        <v>255642000</v>
      </c>
      <c r="G344" s="15" t="s">
        <v>105</v>
      </c>
      <c r="H344" s="15" t="s">
        <v>382</v>
      </c>
      <c r="I344" s="15" t="s">
        <v>457</v>
      </c>
      <c r="J344" s="15">
        <v>2024</v>
      </c>
      <c r="K344" s="15">
        <v>0.25564199999999998</v>
      </c>
    </row>
    <row r="345" spans="1:11" x14ac:dyDescent="0.2">
      <c r="A345" s="17" t="s">
        <v>458</v>
      </c>
      <c r="B345" s="17" t="s">
        <v>68</v>
      </c>
      <c r="C345" s="18">
        <v>45050</v>
      </c>
      <c r="D345" s="17">
        <v>656022000</v>
      </c>
      <c r="E345" s="17" t="s">
        <v>59</v>
      </c>
      <c r="F345" s="17">
        <v>656022000</v>
      </c>
      <c r="G345" s="17" t="s">
        <v>443</v>
      </c>
      <c r="H345" s="17" t="s">
        <v>382</v>
      </c>
      <c r="I345" s="17" t="s">
        <v>459</v>
      </c>
      <c r="J345" s="17">
        <v>2023</v>
      </c>
      <c r="K345" s="17">
        <v>0.65602199999999999</v>
      </c>
    </row>
    <row r="346" spans="1:11" x14ac:dyDescent="0.2">
      <c r="A346" s="15" t="s">
        <v>460</v>
      </c>
      <c r="B346" s="15" t="s">
        <v>68</v>
      </c>
      <c r="C346" s="16">
        <v>44379</v>
      </c>
      <c r="D346" s="15"/>
      <c r="E346" s="15" t="s">
        <v>402</v>
      </c>
      <c r="F346" s="15">
        <v>233568500</v>
      </c>
      <c r="G346" s="15" t="s">
        <v>403</v>
      </c>
      <c r="H346" s="15" t="s">
        <v>382</v>
      </c>
      <c r="I346" s="15" t="s">
        <v>461</v>
      </c>
      <c r="J346" s="15">
        <v>2021</v>
      </c>
      <c r="K346" s="15">
        <v>0.23356850000000001</v>
      </c>
    </row>
    <row r="347" spans="1:11" x14ac:dyDescent="0.2">
      <c r="A347" s="17" t="s">
        <v>390</v>
      </c>
      <c r="B347" s="17" t="s">
        <v>68</v>
      </c>
      <c r="C347" s="18">
        <v>45363</v>
      </c>
      <c r="D347" s="17">
        <v>3000000000</v>
      </c>
      <c r="E347" s="17" t="s">
        <v>265</v>
      </c>
      <c r="F347" s="17">
        <v>178295122</v>
      </c>
      <c r="G347" s="17" t="s">
        <v>266</v>
      </c>
      <c r="H347" s="17" t="s">
        <v>382</v>
      </c>
      <c r="I347" s="17" t="s">
        <v>391</v>
      </c>
      <c r="J347" s="17">
        <v>2024</v>
      </c>
      <c r="K347" s="17">
        <v>0.178295122</v>
      </c>
    </row>
    <row r="348" spans="1:11" x14ac:dyDescent="0.2">
      <c r="A348" s="15" t="s">
        <v>390</v>
      </c>
      <c r="B348" s="15" t="s">
        <v>68</v>
      </c>
      <c r="C348" s="16">
        <v>45044</v>
      </c>
      <c r="D348" s="15">
        <v>3570000000</v>
      </c>
      <c r="E348" s="15" t="s">
        <v>265</v>
      </c>
      <c r="F348" s="15">
        <v>197064714</v>
      </c>
      <c r="G348" s="15" t="s">
        <v>266</v>
      </c>
      <c r="H348" s="15" t="s">
        <v>382</v>
      </c>
      <c r="I348" s="15" t="s">
        <v>391</v>
      </c>
      <c r="J348" s="15">
        <v>2023</v>
      </c>
      <c r="K348" s="15">
        <v>0.197064714</v>
      </c>
    </row>
    <row r="349" spans="1:11" x14ac:dyDescent="0.2">
      <c r="A349" s="17" t="s">
        <v>462</v>
      </c>
      <c r="B349" s="17" t="s">
        <v>53</v>
      </c>
      <c r="C349" s="18">
        <v>45029</v>
      </c>
      <c r="D349" s="17">
        <v>2500000000</v>
      </c>
      <c r="E349" s="17" t="s">
        <v>59</v>
      </c>
      <c r="F349" s="17">
        <v>2500000000</v>
      </c>
      <c r="G349" s="17" t="s">
        <v>463</v>
      </c>
      <c r="H349" s="17" t="s">
        <v>382</v>
      </c>
      <c r="I349" s="17" t="s">
        <v>464</v>
      </c>
      <c r="J349" s="17">
        <v>2023</v>
      </c>
      <c r="K349" s="17">
        <v>2.5</v>
      </c>
    </row>
    <row r="350" spans="1:11" x14ac:dyDescent="0.2">
      <c r="A350" s="15" t="s">
        <v>465</v>
      </c>
      <c r="B350" s="15" t="s">
        <v>68</v>
      </c>
      <c r="C350" s="16">
        <v>44297</v>
      </c>
      <c r="D350" s="15">
        <v>364000000</v>
      </c>
      <c r="E350" s="15" t="s">
        <v>59</v>
      </c>
      <c r="F350" s="15">
        <v>364000000</v>
      </c>
      <c r="G350" s="15" t="s">
        <v>466</v>
      </c>
      <c r="H350" s="15" t="s">
        <v>382</v>
      </c>
      <c r="I350" s="15" t="s">
        <v>467</v>
      </c>
      <c r="J350" s="15">
        <v>2021</v>
      </c>
      <c r="K350" s="15">
        <v>0.36399999999999999</v>
      </c>
    </row>
    <row r="351" spans="1:11" x14ac:dyDescent="0.2">
      <c r="A351" s="17" t="s">
        <v>451</v>
      </c>
      <c r="B351" s="17" t="s">
        <v>68</v>
      </c>
      <c r="C351" s="18">
        <v>44943</v>
      </c>
      <c r="D351" s="17">
        <v>1250000000</v>
      </c>
      <c r="E351" s="17" t="s">
        <v>59</v>
      </c>
      <c r="F351" s="17">
        <v>1250000000</v>
      </c>
      <c r="G351" s="17" t="s">
        <v>452</v>
      </c>
      <c r="H351" s="17" t="s">
        <v>382</v>
      </c>
      <c r="I351" s="17" t="s">
        <v>453</v>
      </c>
      <c r="J351" s="17">
        <v>2023</v>
      </c>
      <c r="K351" s="17">
        <v>1.25</v>
      </c>
    </row>
    <row r="352" spans="1:11" x14ac:dyDescent="0.2">
      <c r="A352" s="15" t="s">
        <v>451</v>
      </c>
      <c r="B352" s="15" t="s">
        <v>68</v>
      </c>
      <c r="C352" s="16">
        <v>44847</v>
      </c>
      <c r="D352" s="15">
        <v>750000000</v>
      </c>
      <c r="E352" s="15" t="s">
        <v>59</v>
      </c>
      <c r="F352" s="15">
        <v>750000000</v>
      </c>
      <c r="G352" s="15" t="s">
        <v>452</v>
      </c>
      <c r="H352" s="15" t="s">
        <v>382</v>
      </c>
      <c r="I352" s="15" t="s">
        <v>453</v>
      </c>
      <c r="J352" s="15">
        <v>2022</v>
      </c>
      <c r="K352" s="15">
        <v>0.75</v>
      </c>
    </row>
    <row r="353" spans="1:11" x14ac:dyDescent="0.2">
      <c r="A353" s="17" t="s">
        <v>426</v>
      </c>
      <c r="B353" s="17" t="s">
        <v>53</v>
      </c>
      <c r="C353" s="18">
        <v>44718</v>
      </c>
      <c r="D353" s="17">
        <v>1500000000</v>
      </c>
      <c r="E353" s="17" t="s">
        <v>59</v>
      </c>
      <c r="F353" s="17">
        <v>1500000000</v>
      </c>
      <c r="G353" s="17" t="s">
        <v>427</v>
      </c>
      <c r="H353" s="17" t="s">
        <v>382</v>
      </c>
      <c r="I353" s="17" t="s">
        <v>428</v>
      </c>
      <c r="J353" s="17">
        <v>2022</v>
      </c>
      <c r="K353" s="17">
        <v>1.5</v>
      </c>
    </row>
    <row r="354" spans="1:11" x14ac:dyDescent="0.2">
      <c r="A354" s="15" t="s">
        <v>426</v>
      </c>
      <c r="B354" s="15" t="s">
        <v>53</v>
      </c>
      <c r="C354" s="16">
        <v>45141</v>
      </c>
      <c r="D354" s="15">
        <v>1950000000000</v>
      </c>
      <c r="E354" s="15" t="s">
        <v>468</v>
      </c>
      <c r="F354" s="15">
        <v>128560127</v>
      </c>
      <c r="G354" s="15" t="s">
        <v>427</v>
      </c>
      <c r="H354" s="15" t="s">
        <v>382</v>
      </c>
      <c r="I354" s="15" t="s">
        <v>428</v>
      </c>
      <c r="J354" s="15">
        <v>2023</v>
      </c>
      <c r="K354" s="15">
        <v>0.128560127</v>
      </c>
    </row>
    <row r="355" spans="1:11" x14ac:dyDescent="0.2">
      <c r="A355" s="17" t="s">
        <v>426</v>
      </c>
      <c r="B355" s="17" t="s">
        <v>53</v>
      </c>
      <c r="C355" s="18">
        <v>44950</v>
      </c>
      <c r="D355" s="17">
        <v>3950000000000</v>
      </c>
      <c r="E355" s="17" t="s">
        <v>468</v>
      </c>
      <c r="F355" s="17">
        <v>264115996</v>
      </c>
      <c r="G355" s="17" t="s">
        <v>427</v>
      </c>
      <c r="H355" s="17" t="s">
        <v>382</v>
      </c>
      <c r="I355" s="17" t="s">
        <v>428</v>
      </c>
      <c r="J355" s="17">
        <v>2023</v>
      </c>
      <c r="K355" s="17">
        <v>0.26411599600000002</v>
      </c>
    </row>
    <row r="356" spans="1:11" x14ac:dyDescent="0.2">
      <c r="A356" s="15" t="s">
        <v>426</v>
      </c>
      <c r="B356" s="15" t="s">
        <v>53</v>
      </c>
      <c r="C356" s="16">
        <v>44882</v>
      </c>
      <c r="D356" s="15">
        <v>70000000000</v>
      </c>
      <c r="E356" s="15" t="s">
        <v>468</v>
      </c>
      <c r="F356" s="15">
        <v>4448964</v>
      </c>
      <c r="G356" s="15" t="s">
        <v>427</v>
      </c>
      <c r="H356" s="15" t="s">
        <v>382</v>
      </c>
      <c r="I356" s="15" t="s">
        <v>428</v>
      </c>
      <c r="J356" s="15">
        <v>2022</v>
      </c>
      <c r="K356" s="15">
        <v>4.4489639999999997E-3</v>
      </c>
    </row>
    <row r="357" spans="1:11" x14ac:dyDescent="0.2">
      <c r="A357" s="17" t="s">
        <v>426</v>
      </c>
      <c r="B357" s="17" t="s">
        <v>53</v>
      </c>
      <c r="C357" s="18">
        <v>44902</v>
      </c>
      <c r="D357" s="17">
        <v>10000000000000</v>
      </c>
      <c r="E357" s="17" t="s">
        <v>468</v>
      </c>
      <c r="F357" s="17">
        <v>640697080</v>
      </c>
      <c r="G357" s="17" t="s">
        <v>427</v>
      </c>
      <c r="H357" s="17" t="s">
        <v>382</v>
      </c>
      <c r="I357" s="17" t="s">
        <v>428</v>
      </c>
      <c r="J357" s="17">
        <v>2022</v>
      </c>
      <c r="K357" s="17">
        <v>0.64069708000000003</v>
      </c>
    </row>
    <row r="358" spans="1:11" x14ac:dyDescent="0.2">
      <c r="A358" s="15" t="s">
        <v>426</v>
      </c>
      <c r="B358" s="15" t="s">
        <v>53</v>
      </c>
      <c r="C358" s="16">
        <v>45245</v>
      </c>
      <c r="D358" s="15">
        <v>1000000000</v>
      </c>
      <c r="E358" s="15" t="s">
        <v>59</v>
      </c>
      <c r="F358" s="15">
        <v>1000000000</v>
      </c>
      <c r="G358" s="15" t="s">
        <v>427</v>
      </c>
      <c r="H358" s="15" t="s">
        <v>382</v>
      </c>
      <c r="I358" s="15" t="s">
        <v>428</v>
      </c>
      <c r="J358" s="15">
        <v>2023</v>
      </c>
      <c r="K358" s="15">
        <v>1</v>
      </c>
    </row>
    <row r="359" spans="1:11" x14ac:dyDescent="0.2">
      <c r="A359" s="17" t="s">
        <v>418</v>
      </c>
      <c r="B359" s="17" t="s">
        <v>434</v>
      </c>
      <c r="C359" s="18">
        <v>44517</v>
      </c>
      <c r="D359" s="17">
        <v>1000000000</v>
      </c>
      <c r="E359" s="17" t="s">
        <v>54</v>
      </c>
      <c r="F359" s="17">
        <v>1131600000</v>
      </c>
      <c r="G359" s="17" t="s">
        <v>419</v>
      </c>
      <c r="H359" s="17" t="s">
        <v>382</v>
      </c>
      <c r="I359" s="17" t="s">
        <v>420</v>
      </c>
      <c r="J359" s="17">
        <v>2021</v>
      </c>
      <c r="K359" s="17">
        <v>1.1315999999999999</v>
      </c>
    </row>
    <row r="360" spans="1:11" x14ac:dyDescent="0.2">
      <c r="A360" s="15" t="s">
        <v>418</v>
      </c>
      <c r="B360" s="15" t="s">
        <v>68</v>
      </c>
      <c r="C360" s="16">
        <v>44502</v>
      </c>
      <c r="D360" s="15">
        <v>1000000000</v>
      </c>
      <c r="E360" s="15" t="s">
        <v>59</v>
      </c>
      <c r="F360" s="15">
        <v>1000000000</v>
      </c>
      <c r="G360" s="15" t="s">
        <v>419</v>
      </c>
      <c r="H360" s="15" t="s">
        <v>382</v>
      </c>
      <c r="I360" s="15" t="s">
        <v>420</v>
      </c>
      <c r="J360" s="15">
        <v>2021</v>
      </c>
      <c r="K360" s="15">
        <v>1</v>
      </c>
    </row>
    <row r="361" spans="1:11" x14ac:dyDescent="0.2">
      <c r="A361" s="17" t="s">
        <v>432</v>
      </c>
      <c r="B361" s="17" t="s">
        <v>68</v>
      </c>
      <c r="C361" s="18">
        <v>43635</v>
      </c>
      <c r="D361" s="17"/>
      <c r="E361" s="17" t="s">
        <v>59</v>
      </c>
      <c r="F361" s="17">
        <v>500000000</v>
      </c>
      <c r="G361" s="17" t="s">
        <v>114</v>
      </c>
      <c r="H361" s="17" t="s">
        <v>382</v>
      </c>
      <c r="I361" s="17" t="s">
        <v>433</v>
      </c>
      <c r="J361" s="17">
        <v>2019</v>
      </c>
      <c r="K361" s="17">
        <v>0.5</v>
      </c>
    </row>
    <row r="362" spans="1:11" x14ac:dyDescent="0.2">
      <c r="A362" s="15" t="s">
        <v>469</v>
      </c>
      <c r="B362" s="15" t="s">
        <v>53</v>
      </c>
      <c r="C362" s="16">
        <v>44943</v>
      </c>
      <c r="D362" s="15">
        <v>2000000000</v>
      </c>
      <c r="E362" s="15" t="s">
        <v>59</v>
      </c>
      <c r="F362" s="15">
        <v>2000000000</v>
      </c>
      <c r="G362" s="15" t="s">
        <v>470</v>
      </c>
      <c r="H362" s="15" t="s">
        <v>382</v>
      </c>
      <c r="I362" s="15" t="s">
        <v>471</v>
      </c>
      <c r="J362" s="15">
        <v>2023</v>
      </c>
      <c r="K362" s="15">
        <v>2</v>
      </c>
    </row>
    <row r="363" spans="1:11" x14ac:dyDescent="0.2">
      <c r="A363" s="17" t="s">
        <v>456</v>
      </c>
      <c r="B363" s="17" t="s">
        <v>53</v>
      </c>
      <c r="C363" s="18">
        <v>45329</v>
      </c>
      <c r="D363" s="17">
        <v>80000000</v>
      </c>
      <c r="E363" s="17" t="s">
        <v>54</v>
      </c>
      <c r="F363" s="17">
        <v>86105760</v>
      </c>
      <c r="G363" s="17" t="s">
        <v>105</v>
      </c>
      <c r="H363" s="17" t="s">
        <v>382</v>
      </c>
      <c r="I363" s="17" t="s">
        <v>457</v>
      </c>
      <c r="J363" s="17">
        <v>2024</v>
      </c>
      <c r="K363" s="17">
        <v>8.6105760000000003E-2</v>
      </c>
    </row>
    <row r="364" spans="1:11" x14ac:dyDescent="0.2">
      <c r="A364" s="15" t="s">
        <v>472</v>
      </c>
      <c r="B364" s="15" t="s">
        <v>434</v>
      </c>
      <c r="C364" s="16">
        <v>43945</v>
      </c>
      <c r="D364" s="15">
        <v>500000000</v>
      </c>
      <c r="E364" s="15" t="s">
        <v>59</v>
      </c>
      <c r="F364" s="15">
        <v>500000000</v>
      </c>
      <c r="G364" s="15" t="s">
        <v>472</v>
      </c>
      <c r="H364" s="15" t="s">
        <v>382</v>
      </c>
      <c r="I364" s="15" t="s">
        <v>473</v>
      </c>
      <c r="J364" s="15">
        <v>2020</v>
      </c>
      <c r="K364" s="15">
        <v>0.5</v>
      </c>
    </row>
    <row r="365" spans="1:11" x14ac:dyDescent="0.2">
      <c r="A365" s="17" t="s">
        <v>474</v>
      </c>
      <c r="B365" s="17" t="s">
        <v>434</v>
      </c>
      <c r="C365" s="18">
        <v>45244</v>
      </c>
      <c r="D365" s="17">
        <v>1250000000</v>
      </c>
      <c r="E365" s="17" t="s">
        <v>59</v>
      </c>
      <c r="F365" s="17">
        <v>1250000000</v>
      </c>
      <c r="G365" s="17" t="s">
        <v>302</v>
      </c>
      <c r="H365" s="17" t="s">
        <v>382</v>
      </c>
      <c r="I365" s="17" t="s">
        <v>475</v>
      </c>
      <c r="J365" s="17">
        <v>2023</v>
      </c>
      <c r="K365" s="17">
        <v>1.25</v>
      </c>
    </row>
    <row r="366" spans="1:11" x14ac:dyDescent="0.2">
      <c r="A366" s="15" t="s">
        <v>474</v>
      </c>
      <c r="B366" s="15" t="s">
        <v>434</v>
      </c>
      <c r="C366" s="16">
        <v>45244</v>
      </c>
      <c r="D366" s="15">
        <v>1250000000</v>
      </c>
      <c r="E366" s="15" t="s">
        <v>59</v>
      </c>
      <c r="F366" s="15">
        <v>1250000000</v>
      </c>
      <c r="G366" s="15" t="s">
        <v>302</v>
      </c>
      <c r="H366" s="15" t="s">
        <v>382</v>
      </c>
      <c r="I366" s="15" t="s">
        <v>475</v>
      </c>
      <c r="J366" s="15">
        <v>2023</v>
      </c>
      <c r="K366" s="15">
        <v>1.25</v>
      </c>
    </row>
    <row r="367" spans="1:11" x14ac:dyDescent="0.2">
      <c r="A367" s="17" t="s">
        <v>424</v>
      </c>
      <c r="B367" s="17" t="s">
        <v>434</v>
      </c>
      <c r="C367" s="18">
        <v>45313</v>
      </c>
      <c r="D367" s="17">
        <v>1700000000</v>
      </c>
      <c r="E367" s="17" t="s">
        <v>59</v>
      </c>
      <c r="F367" s="17">
        <v>1700000000</v>
      </c>
      <c r="G367" s="17" t="s">
        <v>226</v>
      </c>
      <c r="H367" s="17" t="s">
        <v>382</v>
      </c>
      <c r="I367" s="17" t="s">
        <v>425</v>
      </c>
      <c r="J367" s="17">
        <v>2024</v>
      </c>
      <c r="K367" s="17">
        <v>1.7</v>
      </c>
    </row>
    <row r="368" spans="1:11" x14ac:dyDescent="0.2">
      <c r="A368" s="15" t="s">
        <v>424</v>
      </c>
      <c r="B368" s="15" t="s">
        <v>68</v>
      </c>
      <c r="C368" s="16">
        <v>44592</v>
      </c>
      <c r="D368" s="15">
        <v>1000000000</v>
      </c>
      <c r="E368" s="15" t="s">
        <v>59</v>
      </c>
      <c r="F368" s="15">
        <v>1000000000</v>
      </c>
      <c r="G368" s="15" t="s">
        <v>226</v>
      </c>
      <c r="H368" s="15" t="s">
        <v>382</v>
      </c>
      <c r="I368" s="15" t="s">
        <v>425</v>
      </c>
      <c r="J368" s="15">
        <v>2022</v>
      </c>
      <c r="K368" s="15">
        <v>1</v>
      </c>
    </row>
    <row r="369" spans="1:11" x14ac:dyDescent="0.2">
      <c r="A369" s="17" t="s">
        <v>424</v>
      </c>
      <c r="B369" s="17" t="s">
        <v>434</v>
      </c>
      <c r="C369" s="18">
        <v>44539</v>
      </c>
      <c r="D369" s="17"/>
      <c r="E369" s="17" t="s">
        <v>315</v>
      </c>
      <c r="F369" s="17">
        <v>1355962529</v>
      </c>
      <c r="G369" s="17" t="s">
        <v>226</v>
      </c>
      <c r="H369" s="17" t="s">
        <v>382</v>
      </c>
      <c r="I369" s="17" t="s">
        <v>425</v>
      </c>
      <c r="J369" s="17">
        <v>2021</v>
      </c>
      <c r="K369" s="17">
        <v>1.3559625289999999</v>
      </c>
    </row>
    <row r="370" spans="1:11" x14ac:dyDescent="0.2">
      <c r="A370" s="15" t="s">
        <v>424</v>
      </c>
      <c r="B370" s="15" t="s">
        <v>434</v>
      </c>
      <c r="C370" s="16">
        <v>44378</v>
      </c>
      <c r="D370" s="15">
        <v>1500000000000</v>
      </c>
      <c r="E370" s="15" t="s">
        <v>315</v>
      </c>
      <c r="F370" s="15">
        <v>1917006403</v>
      </c>
      <c r="G370" s="15" t="s">
        <v>226</v>
      </c>
      <c r="H370" s="15" t="s">
        <v>382</v>
      </c>
      <c r="I370" s="15" t="s">
        <v>425</v>
      </c>
      <c r="J370" s="15">
        <v>2021</v>
      </c>
      <c r="K370" s="15">
        <v>1.917006403</v>
      </c>
    </row>
    <row r="371" spans="1:11" x14ac:dyDescent="0.2">
      <c r="A371" s="17" t="s">
        <v>424</v>
      </c>
      <c r="B371" s="17" t="s">
        <v>434</v>
      </c>
      <c r="C371" s="18">
        <v>44404</v>
      </c>
      <c r="D371" s="17">
        <v>1000000000</v>
      </c>
      <c r="E371" s="17" t="s">
        <v>59</v>
      </c>
      <c r="F371" s="17">
        <v>1000000000</v>
      </c>
      <c r="G371" s="17" t="s">
        <v>226</v>
      </c>
      <c r="H371" s="17" t="s">
        <v>382</v>
      </c>
      <c r="I371" s="17" t="s">
        <v>425</v>
      </c>
      <c r="J371" s="17">
        <v>2021</v>
      </c>
      <c r="K371" s="17">
        <v>1</v>
      </c>
    </row>
    <row r="372" spans="1:11" x14ac:dyDescent="0.2">
      <c r="A372" s="15" t="s">
        <v>424</v>
      </c>
      <c r="B372" s="15" t="s">
        <v>434</v>
      </c>
      <c r="C372" s="16">
        <v>44453</v>
      </c>
      <c r="D372" s="15">
        <v>918000000</v>
      </c>
      <c r="E372" s="15" t="s">
        <v>54</v>
      </c>
      <c r="F372" s="15">
        <v>1083056400</v>
      </c>
      <c r="G372" s="15" t="s">
        <v>226</v>
      </c>
      <c r="H372" s="15" t="s">
        <v>382</v>
      </c>
      <c r="I372" s="15" t="s">
        <v>425</v>
      </c>
      <c r="J372" s="15">
        <v>2021</v>
      </c>
      <c r="K372" s="15">
        <v>1.0830564</v>
      </c>
    </row>
    <row r="373" spans="1:11" x14ac:dyDescent="0.2">
      <c r="A373" s="17" t="s">
        <v>424</v>
      </c>
      <c r="B373" s="17" t="s">
        <v>434</v>
      </c>
      <c r="C373" s="18">
        <v>44323</v>
      </c>
      <c r="D373" s="17">
        <v>1700000000</v>
      </c>
      <c r="E373" s="17" t="s">
        <v>59</v>
      </c>
      <c r="F373" s="17">
        <v>1700000000</v>
      </c>
      <c r="G373" s="17" t="s">
        <v>226</v>
      </c>
      <c r="H373" s="17" t="s">
        <v>382</v>
      </c>
      <c r="I373" s="17" t="s">
        <v>425</v>
      </c>
      <c r="J373" s="17">
        <v>2021</v>
      </c>
      <c r="K373" s="17">
        <v>1.7</v>
      </c>
    </row>
    <row r="374" spans="1:11" x14ac:dyDescent="0.2">
      <c r="A374" s="15" t="s">
        <v>424</v>
      </c>
      <c r="B374" s="15" t="s">
        <v>434</v>
      </c>
      <c r="C374" s="16">
        <v>44435</v>
      </c>
      <c r="D374" s="15">
        <v>750000000</v>
      </c>
      <c r="E374" s="15" t="s">
        <v>54</v>
      </c>
      <c r="F374" s="15">
        <v>882045000</v>
      </c>
      <c r="G374" s="15" t="s">
        <v>226</v>
      </c>
      <c r="H374" s="15" t="s">
        <v>382</v>
      </c>
      <c r="I374" s="15" t="s">
        <v>425</v>
      </c>
      <c r="J374" s="15">
        <v>2021</v>
      </c>
      <c r="K374" s="15">
        <v>0.88204499999999997</v>
      </c>
    </row>
    <row r="375" spans="1:11" x14ac:dyDescent="0.2">
      <c r="A375" s="17" t="s">
        <v>424</v>
      </c>
      <c r="B375" s="17" t="s">
        <v>434</v>
      </c>
      <c r="C375" s="18">
        <v>44218</v>
      </c>
      <c r="D375" s="17">
        <v>1500000000</v>
      </c>
      <c r="E375" s="17" t="s">
        <v>59</v>
      </c>
      <c r="F375" s="17">
        <v>1500000000</v>
      </c>
      <c r="G375" s="17" t="s">
        <v>226</v>
      </c>
      <c r="H375" s="17" t="s">
        <v>382</v>
      </c>
      <c r="I375" s="17" t="s">
        <v>425</v>
      </c>
      <c r="J375" s="17">
        <v>2021</v>
      </c>
      <c r="K375" s="17">
        <v>1.5</v>
      </c>
    </row>
    <row r="376" spans="1:11" x14ac:dyDescent="0.2">
      <c r="A376" s="15" t="s">
        <v>424</v>
      </c>
      <c r="B376" s="15" t="s">
        <v>434</v>
      </c>
      <c r="C376" s="16">
        <v>44445</v>
      </c>
      <c r="D376" s="15">
        <v>2250000000</v>
      </c>
      <c r="E376" s="15" t="s">
        <v>59</v>
      </c>
      <c r="F376" s="15">
        <v>2250000000</v>
      </c>
      <c r="G376" s="15" t="s">
        <v>226</v>
      </c>
      <c r="H376" s="15" t="s">
        <v>382</v>
      </c>
      <c r="I376" s="15" t="s">
        <v>425</v>
      </c>
      <c r="J376" s="15">
        <v>2021</v>
      </c>
      <c r="K376" s="15">
        <v>2.25</v>
      </c>
    </row>
    <row r="377" spans="1:11" x14ac:dyDescent="0.2">
      <c r="A377" s="17" t="s">
        <v>424</v>
      </c>
      <c r="B377" s="17" t="s">
        <v>53</v>
      </c>
      <c r="C377" s="18">
        <v>43857</v>
      </c>
      <c r="D377" s="17">
        <v>900000000</v>
      </c>
      <c r="E377" s="17" t="s">
        <v>59</v>
      </c>
      <c r="F377" s="17">
        <v>900000000</v>
      </c>
      <c r="G377" s="17" t="s">
        <v>226</v>
      </c>
      <c r="H377" s="17" t="s">
        <v>382</v>
      </c>
      <c r="I377" s="17" t="s">
        <v>425</v>
      </c>
      <c r="J377" s="17">
        <v>2020</v>
      </c>
      <c r="K377" s="17">
        <v>0.9</v>
      </c>
    </row>
    <row r="378" spans="1:11" x14ac:dyDescent="0.2">
      <c r="A378" s="15" t="s">
        <v>424</v>
      </c>
      <c r="B378" s="15" t="s">
        <v>53</v>
      </c>
      <c r="C378" s="16">
        <v>43648</v>
      </c>
      <c r="D378" s="15">
        <v>861000000</v>
      </c>
      <c r="E378" s="15" t="s">
        <v>54</v>
      </c>
      <c r="F378" s="15">
        <v>972441834</v>
      </c>
      <c r="G378" s="15" t="s">
        <v>226</v>
      </c>
      <c r="H378" s="15" t="s">
        <v>382</v>
      </c>
      <c r="I378" s="15" t="s">
        <v>425</v>
      </c>
      <c r="J378" s="15">
        <v>2019</v>
      </c>
      <c r="K378" s="15">
        <v>0.97244183399999995</v>
      </c>
    </row>
    <row r="379" spans="1:11" x14ac:dyDescent="0.2">
      <c r="A379" s="17" t="s">
        <v>424</v>
      </c>
      <c r="B379" s="17" t="s">
        <v>53</v>
      </c>
      <c r="C379" s="18">
        <v>44215</v>
      </c>
      <c r="D379" s="17">
        <v>750000000</v>
      </c>
      <c r="E379" s="17" t="s">
        <v>59</v>
      </c>
      <c r="F379" s="17">
        <v>750000000</v>
      </c>
      <c r="G379" s="17" t="s">
        <v>226</v>
      </c>
      <c r="H379" s="17" t="s">
        <v>382</v>
      </c>
      <c r="I379" s="17" t="s">
        <v>425</v>
      </c>
      <c r="J379" s="17">
        <v>2021</v>
      </c>
      <c r="K379" s="17">
        <v>0.75</v>
      </c>
    </row>
    <row r="380" spans="1:11" x14ac:dyDescent="0.2">
      <c r="A380" s="15" t="s">
        <v>424</v>
      </c>
      <c r="B380" s="15" t="s">
        <v>53</v>
      </c>
      <c r="C380" s="16">
        <v>43859</v>
      </c>
      <c r="D380" s="15">
        <v>1269017000</v>
      </c>
      <c r="E380" s="15" t="s">
        <v>54</v>
      </c>
      <c r="F380" s="15">
        <v>1396045601</v>
      </c>
      <c r="G380" s="15" t="s">
        <v>226</v>
      </c>
      <c r="H380" s="15" t="s">
        <v>382</v>
      </c>
      <c r="I380" s="15" t="s">
        <v>425</v>
      </c>
      <c r="J380" s="15">
        <v>2020</v>
      </c>
      <c r="K380" s="15">
        <v>1.396045601</v>
      </c>
    </row>
    <row r="381" spans="1:11" x14ac:dyDescent="0.2">
      <c r="A381" s="17" t="s">
        <v>476</v>
      </c>
      <c r="B381" s="17" t="s">
        <v>68</v>
      </c>
      <c r="C381" s="18">
        <v>45250</v>
      </c>
      <c r="D381" s="17">
        <v>2000000000</v>
      </c>
      <c r="E381" s="17" t="s">
        <v>59</v>
      </c>
      <c r="F381" s="17">
        <v>2000000000</v>
      </c>
      <c r="G381" s="17" t="s">
        <v>323</v>
      </c>
      <c r="H381" s="17" t="s">
        <v>382</v>
      </c>
      <c r="I381" s="17" t="s">
        <v>477</v>
      </c>
      <c r="J381" s="17">
        <v>2023</v>
      </c>
      <c r="K381" s="17">
        <v>2</v>
      </c>
    </row>
    <row r="382" spans="1:11" x14ac:dyDescent="0.2">
      <c r="A382" s="15" t="s">
        <v>478</v>
      </c>
      <c r="B382" s="15" t="s">
        <v>68</v>
      </c>
      <c r="C382" s="16">
        <v>44823</v>
      </c>
      <c r="D382" s="15">
        <v>35000000000</v>
      </c>
      <c r="E382" s="15" t="s">
        <v>479</v>
      </c>
      <c r="F382" s="15">
        <v>945434388</v>
      </c>
      <c r="G382" s="15" t="s">
        <v>480</v>
      </c>
      <c r="H382" s="15" t="s">
        <v>382</v>
      </c>
      <c r="I382" s="15" t="s">
        <v>481</v>
      </c>
      <c r="J382" s="15">
        <v>2022</v>
      </c>
      <c r="K382" s="15">
        <v>0.94543438800000001</v>
      </c>
    </row>
    <row r="383" spans="1:11" x14ac:dyDescent="0.2">
      <c r="A383" s="17" t="s">
        <v>478</v>
      </c>
      <c r="B383" s="17" t="s">
        <v>68</v>
      </c>
      <c r="C383" s="18">
        <v>44901</v>
      </c>
      <c r="D383" s="17">
        <v>30000000000</v>
      </c>
      <c r="E383" s="17" t="s">
        <v>479</v>
      </c>
      <c r="F383" s="17">
        <v>856654085</v>
      </c>
      <c r="G383" s="17" t="s">
        <v>480</v>
      </c>
      <c r="H383" s="17" t="s">
        <v>382</v>
      </c>
      <c r="I383" s="17" t="s">
        <v>481</v>
      </c>
      <c r="J383" s="17">
        <v>2022</v>
      </c>
      <c r="K383" s="17">
        <v>0.85665408499999995</v>
      </c>
    </row>
    <row r="384" spans="1:11" x14ac:dyDescent="0.2">
      <c r="A384" s="15" t="s">
        <v>478</v>
      </c>
      <c r="B384" s="15" t="s">
        <v>68</v>
      </c>
      <c r="C384" s="16">
        <v>44953</v>
      </c>
      <c r="D384" s="15">
        <v>20000000000</v>
      </c>
      <c r="E384" s="15" t="s">
        <v>479</v>
      </c>
      <c r="F384" s="15">
        <v>608649375</v>
      </c>
      <c r="G384" s="15" t="s">
        <v>480</v>
      </c>
      <c r="H384" s="15" t="s">
        <v>382</v>
      </c>
      <c r="I384" s="15" t="s">
        <v>481</v>
      </c>
      <c r="J384" s="15">
        <v>2023</v>
      </c>
      <c r="K384" s="15">
        <v>0.60864937500000005</v>
      </c>
    </row>
    <row r="385" spans="1:11" x14ac:dyDescent="0.2">
      <c r="A385" s="17" t="s">
        <v>478</v>
      </c>
      <c r="B385" s="17" t="s">
        <v>68</v>
      </c>
      <c r="C385" s="18">
        <v>45016</v>
      </c>
      <c r="D385" s="17">
        <v>20000000000</v>
      </c>
      <c r="E385" s="17" t="s">
        <v>479</v>
      </c>
      <c r="F385" s="17">
        <v>586079599</v>
      </c>
      <c r="G385" s="17" t="s">
        <v>480</v>
      </c>
      <c r="H385" s="17" t="s">
        <v>382</v>
      </c>
      <c r="I385" s="17" t="s">
        <v>481</v>
      </c>
      <c r="J385" s="17">
        <v>2023</v>
      </c>
      <c r="K385" s="17">
        <v>0.58607959899999995</v>
      </c>
    </row>
    <row r="386" spans="1:11" x14ac:dyDescent="0.2">
      <c r="A386" s="15" t="s">
        <v>478</v>
      </c>
      <c r="B386" s="15" t="s">
        <v>68</v>
      </c>
      <c r="C386" s="16">
        <v>45072</v>
      </c>
      <c r="D386" s="15">
        <v>20000000000</v>
      </c>
      <c r="E386" s="15" t="s">
        <v>479</v>
      </c>
      <c r="F386" s="15">
        <v>577033518</v>
      </c>
      <c r="G386" s="15" t="s">
        <v>480</v>
      </c>
      <c r="H386" s="15" t="s">
        <v>382</v>
      </c>
      <c r="I386" s="15" t="s">
        <v>481</v>
      </c>
      <c r="J386" s="15">
        <v>2023</v>
      </c>
      <c r="K386" s="15">
        <v>0.57703351800000002</v>
      </c>
    </row>
    <row r="387" spans="1:11" x14ac:dyDescent="0.2">
      <c r="A387" s="17" t="s">
        <v>478</v>
      </c>
      <c r="B387" s="17" t="s">
        <v>68</v>
      </c>
      <c r="C387" s="18">
        <v>45114</v>
      </c>
      <c r="D387" s="17">
        <v>20000000000</v>
      </c>
      <c r="E387" s="17" t="s">
        <v>479</v>
      </c>
      <c r="F387" s="17">
        <v>567704259</v>
      </c>
      <c r="G387" s="17" t="s">
        <v>480</v>
      </c>
      <c r="H387" s="17" t="s">
        <v>382</v>
      </c>
      <c r="I387" s="17" t="s">
        <v>481</v>
      </c>
      <c r="J387" s="17">
        <v>2023</v>
      </c>
      <c r="K387" s="17">
        <v>0.56770425899999999</v>
      </c>
    </row>
    <row r="388" spans="1:11" x14ac:dyDescent="0.2">
      <c r="A388" s="15" t="s">
        <v>478</v>
      </c>
      <c r="B388" s="15" t="s">
        <v>68</v>
      </c>
      <c r="C388" s="16">
        <v>45170</v>
      </c>
      <c r="D388" s="15">
        <v>20000000000</v>
      </c>
      <c r="E388" s="15" t="s">
        <v>479</v>
      </c>
      <c r="F388" s="15">
        <v>583852254</v>
      </c>
      <c r="G388" s="15" t="s">
        <v>480</v>
      </c>
      <c r="H388" s="15" t="s">
        <v>382</v>
      </c>
      <c r="I388" s="15" t="s">
        <v>481</v>
      </c>
      <c r="J388" s="15">
        <v>2023</v>
      </c>
      <c r="K388" s="15">
        <v>0.58385225399999996</v>
      </c>
    </row>
    <row r="389" spans="1:11" x14ac:dyDescent="0.2">
      <c r="A389" s="17" t="s">
        <v>478</v>
      </c>
      <c r="B389" s="17" t="s">
        <v>68</v>
      </c>
      <c r="C389" s="18">
        <v>45215</v>
      </c>
      <c r="D389" s="17">
        <v>20000000000</v>
      </c>
      <c r="E389" s="17" t="s">
        <v>479</v>
      </c>
      <c r="F389" s="17">
        <v>551264000</v>
      </c>
      <c r="G389" s="17" t="s">
        <v>480</v>
      </c>
      <c r="H389" s="17" t="s">
        <v>382</v>
      </c>
      <c r="I389" s="17" t="s">
        <v>481</v>
      </c>
      <c r="J389" s="17">
        <v>2023</v>
      </c>
      <c r="K389" s="17">
        <v>0.55126399999999998</v>
      </c>
    </row>
    <row r="390" spans="1:11" x14ac:dyDescent="0.2">
      <c r="A390" s="15" t="s">
        <v>478</v>
      </c>
      <c r="B390" s="15" t="s">
        <v>68</v>
      </c>
      <c r="C390" s="16">
        <v>45247</v>
      </c>
      <c r="D390" s="15">
        <v>15000000000</v>
      </c>
      <c r="E390" s="15" t="s">
        <v>479</v>
      </c>
      <c r="F390" s="15">
        <v>423586500</v>
      </c>
      <c r="G390" s="15" t="s">
        <v>480</v>
      </c>
      <c r="H390" s="15" t="s">
        <v>382</v>
      </c>
      <c r="I390" s="15" t="s">
        <v>481</v>
      </c>
      <c r="J390" s="15">
        <v>2023</v>
      </c>
      <c r="K390" s="15">
        <v>0.42358649999999998</v>
      </c>
    </row>
    <row r="391" spans="1:11" x14ac:dyDescent="0.2">
      <c r="A391" s="17" t="s">
        <v>478</v>
      </c>
      <c r="B391" s="17" t="s">
        <v>68</v>
      </c>
      <c r="C391" s="18">
        <v>45345</v>
      </c>
      <c r="D391" s="17">
        <v>25000000000</v>
      </c>
      <c r="E391" s="17" t="s">
        <v>479</v>
      </c>
      <c r="F391" s="17">
        <v>694255760</v>
      </c>
      <c r="G391" s="17" t="s">
        <v>480</v>
      </c>
      <c r="H391" s="17" t="s">
        <v>382</v>
      </c>
      <c r="I391" s="17" t="s">
        <v>481</v>
      </c>
      <c r="J391" s="17">
        <v>2024</v>
      </c>
      <c r="K391" s="17">
        <v>0.69425576</v>
      </c>
    </row>
    <row r="392" spans="1:11" x14ac:dyDescent="0.2">
      <c r="A392" s="15" t="s">
        <v>478</v>
      </c>
      <c r="B392" s="15" t="s">
        <v>68</v>
      </c>
      <c r="C392" s="16">
        <v>44694</v>
      </c>
      <c r="D392" s="15">
        <v>10000000000</v>
      </c>
      <c r="E392" s="15" t="s">
        <v>479</v>
      </c>
      <c r="F392" s="15">
        <v>452298828</v>
      </c>
      <c r="G392" s="15" t="s">
        <v>480</v>
      </c>
      <c r="H392" s="15" t="s">
        <v>382</v>
      </c>
      <c r="I392" s="15" t="s">
        <v>481</v>
      </c>
      <c r="J392" s="15">
        <v>2022</v>
      </c>
      <c r="K392" s="15">
        <v>0.45229882799999999</v>
      </c>
    </row>
    <row r="393" spans="1:11" x14ac:dyDescent="0.2">
      <c r="A393" s="17" t="s">
        <v>478</v>
      </c>
      <c r="B393" s="17" t="s">
        <v>68</v>
      </c>
      <c r="C393" s="18">
        <v>44575</v>
      </c>
      <c r="D393" s="17">
        <v>20000000000</v>
      </c>
      <c r="E393" s="17" t="s">
        <v>479</v>
      </c>
      <c r="F393" s="17">
        <v>601950937</v>
      </c>
      <c r="G393" s="17" t="s">
        <v>480</v>
      </c>
      <c r="H393" s="17" t="s">
        <v>382</v>
      </c>
      <c r="I393" s="17" t="s">
        <v>481</v>
      </c>
      <c r="J393" s="17">
        <v>2022</v>
      </c>
      <c r="K393" s="17">
        <v>0.60195093700000002</v>
      </c>
    </row>
    <row r="394" spans="1:11" x14ac:dyDescent="0.2">
      <c r="A394" s="15" t="s">
        <v>478</v>
      </c>
      <c r="B394" s="15" t="s">
        <v>68</v>
      </c>
      <c r="C394" s="16">
        <v>44638</v>
      </c>
      <c r="D394" s="15">
        <v>20000000000</v>
      </c>
      <c r="E394" s="15" t="s">
        <v>479</v>
      </c>
      <c r="F394" s="15">
        <v>600970000</v>
      </c>
      <c r="G394" s="15" t="s">
        <v>480</v>
      </c>
      <c r="H394" s="15" t="s">
        <v>382</v>
      </c>
      <c r="I394" s="15" t="s">
        <v>481</v>
      </c>
      <c r="J394" s="15">
        <v>2022</v>
      </c>
      <c r="K394" s="15">
        <v>0.60097</v>
      </c>
    </row>
    <row r="395" spans="1:11" x14ac:dyDescent="0.2">
      <c r="A395" s="17" t="s">
        <v>478</v>
      </c>
      <c r="B395" s="17" t="s">
        <v>68</v>
      </c>
      <c r="C395" s="18">
        <v>44694</v>
      </c>
      <c r="D395" s="17">
        <v>15000000000</v>
      </c>
      <c r="E395" s="17" t="s">
        <v>479</v>
      </c>
      <c r="F395" s="17">
        <v>433249500</v>
      </c>
      <c r="G395" s="17" t="s">
        <v>480</v>
      </c>
      <c r="H395" s="17" t="s">
        <v>382</v>
      </c>
      <c r="I395" s="17" t="s">
        <v>481</v>
      </c>
      <c r="J395" s="17">
        <v>2022</v>
      </c>
      <c r="K395" s="17">
        <v>0.43324950000000001</v>
      </c>
    </row>
    <row r="396" spans="1:11" x14ac:dyDescent="0.2">
      <c r="A396" s="15" t="s">
        <v>478</v>
      </c>
      <c r="B396" s="15" t="s">
        <v>68</v>
      </c>
      <c r="C396" s="16">
        <v>44063</v>
      </c>
      <c r="D396" s="15">
        <v>20000000000</v>
      </c>
      <c r="E396" s="15" t="s">
        <v>479</v>
      </c>
      <c r="F396" s="15">
        <v>636327023</v>
      </c>
      <c r="G396" s="15" t="s">
        <v>480</v>
      </c>
      <c r="H396" s="15" t="s">
        <v>382</v>
      </c>
      <c r="I396" s="15" t="s">
        <v>481</v>
      </c>
      <c r="J396" s="15">
        <v>2020</v>
      </c>
      <c r="K396" s="15">
        <v>0.63632702299999999</v>
      </c>
    </row>
    <row r="397" spans="1:11" x14ac:dyDescent="0.2">
      <c r="A397" s="17" t="s">
        <v>478</v>
      </c>
      <c r="B397" s="17" t="s">
        <v>68</v>
      </c>
      <c r="C397" s="18">
        <v>44162</v>
      </c>
      <c r="D397" s="17">
        <v>20000000000</v>
      </c>
      <c r="E397" s="17" t="s">
        <v>479</v>
      </c>
      <c r="F397" s="17">
        <v>659621555</v>
      </c>
      <c r="G397" s="17" t="s">
        <v>480</v>
      </c>
      <c r="H397" s="17" t="s">
        <v>382</v>
      </c>
      <c r="I397" s="17" t="s">
        <v>481</v>
      </c>
      <c r="J397" s="17">
        <v>2020</v>
      </c>
      <c r="K397" s="17">
        <v>0.65962155499999997</v>
      </c>
    </row>
    <row r="398" spans="1:11" x14ac:dyDescent="0.2">
      <c r="A398" s="15" t="s">
        <v>478</v>
      </c>
      <c r="B398" s="15" t="s">
        <v>68</v>
      </c>
      <c r="C398" s="16">
        <v>44218</v>
      </c>
      <c r="D398" s="15">
        <v>15000000000</v>
      </c>
      <c r="E398" s="15" t="s">
        <v>479</v>
      </c>
      <c r="F398" s="15">
        <v>499835553</v>
      </c>
      <c r="G398" s="15" t="s">
        <v>480</v>
      </c>
      <c r="H398" s="15" t="s">
        <v>382</v>
      </c>
      <c r="I398" s="15" t="s">
        <v>481</v>
      </c>
      <c r="J398" s="15">
        <v>2021</v>
      </c>
      <c r="K398" s="15">
        <v>0.49983555299999999</v>
      </c>
    </row>
    <row r="399" spans="1:11" x14ac:dyDescent="0.2">
      <c r="A399" s="17" t="s">
        <v>478</v>
      </c>
      <c r="B399" s="17" t="s">
        <v>68</v>
      </c>
      <c r="C399" s="18">
        <v>44274</v>
      </c>
      <c r="D399" s="17">
        <v>20000000000</v>
      </c>
      <c r="E399" s="17" t="s">
        <v>479</v>
      </c>
      <c r="F399" s="17">
        <v>648505671</v>
      </c>
      <c r="G399" s="17" t="s">
        <v>480</v>
      </c>
      <c r="H399" s="17" t="s">
        <v>382</v>
      </c>
      <c r="I399" s="17" t="s">
        <v>481</v>
      </c>
      <c r="J399" s="17">
        <v>2021</v>
      </c>
      <c r="K399" s="17">
        <v>0.64850567100000001</v>
      </c>
    </row>
    <row r="400" spans="1:11" x14ac:dyDescent="0.2">
      <c r="A400" s="15" t="s">
        <v>478</v>
      </c>
      <c r="B400" s="15" t="s">
        <v>68</v>
      </c>
      <c r="C400" s="16">
        <v>44312</v>
      </c>
      <c r="D400" s="15">
        <v>15000000000</v>
      </c>
      <c r="E400" s="15" t="s">
        <v>479</v>
      </c>
      <c r="F400" s="15">
        <v>477102250</v>
      </c>
      <c r="G400" s="15" t="s">
        <v>480</v>
      </c>
      <c r="H400" s="15" t="s">
        <v>382</v>
      </c>
      <c r="I400" s="15" t="s">
        <v>481</v>
      </c>
      <c r="J400" s="15">
        <v>2021</v>
      </c>
      <c r="K400" s="15">
        <v>0.47710225000000001</v>
      </c>
    </row>
    <row r="401" spans="1:11" x14ac:dyDescent="0.2">
      <c r="A401" s="17" t="s">
        <v>478</v>
      </c>
      <c r="B401" s="17" t="s">
        <v>68</v>
      </c>
      <c r="C401" s="18">
        <v>44393</v>
      </c>
      <c r="D401" s="17">
        <v>12000000000</v>
      </c>
      <c r="E401" s="17" t="s">
        <v>479</v>
      </c>
      <c r="F401" s="17">
        <v>366246864</v>
      </c>
      <c r="G401" s="17" t="s">
        <v>480</v>
      </c>
      <c r="H401" s="17" t="s">
        <v>382</v>
      </c>
      <c r="I401" s="17" t="s">
        <v>481</v>
      </c>
      <c r="J401" s="17">
        <v>2021</v>
      </c>
      <c r="K401" s="17">
        <v>0.36624686400000001</v>
      </c>
    </row>
    <row r="402" spans="1:11" x14ac:dyDescent="0.2">
      <c r="A402" s="15" t="s">
        <v>478</v>
      </c>
      <c r="B402" s="15" t="s">
        <v>68</v>
      </c>
      <c r="C402" s="16">
        <v>44456</v>
      </c>
      <c r="D402" s="15">
        <v>15000000000</v>
      </c>
      <c r="E402" s="15" t="s">
        <v>479</v>
      </c>
      <c r="F402" s="15">
        <v>451398646</v>
      </c>
      <c r="G402" s="15" t="s">
        <v>480</v>
      </c>
      <c r="H402" s="15" t="s">
        <v>382</v>
      </c>
      <c r="I402" s="15" t="s">
        <v>481</v>
      </c>
      <c r="J402" s="15">
        <v>2021</v>
      </c>
      <c r="K402" s="15">
        <v>0.45139864600000001</v>
      </c>
    </row>
    <row r="403" spans="1:11" x14ac:dyDescent="0.2">
      <c r="A403" s="17" t="s">
        <v>478</v>
      </c>
      <c r="B403" s="17" t="s">
        <v>68</v>
      </c>
      <c r="C403" s="18">
        <v>44494</v>
      </c>
      <c r="D403" s="17">
        <v>20000000000</v>
      </c>
      <c r="E403" s="17" t="s">
        <v>479</v>
      </c>
      <c r="F403" s="17">
        <v>603961169</v>
      </c>
      <c r="G403" s="17" t="s">
        <v>480</v>
      </c>
      <c r="H403" s="17" t="s">
        <v>382</v>
      </c>
      <c r="I403" s="17" t="s">
        <v>481</v>
      </c>
      <c r="J403" s="17">
        <v>2021</v>
      </c>
      <c r="K403" s="17">
        <v>0.60396116899999996</v>
      </c>
    </row>
    <row r="404" spans="1:11" x14ac:dyDescent="0.2">
      <c r="A404" s="15" t="s">
        <v>478</v>
      </c>
      <c r="B404" s="15" t="s">
        <v>68</v>
      </c>
      <c r="C404" s="16">
        <v>44526</v>
      </c>
      <c r="D404" s="15">
        <v>10000000000</v>
      </c>
      <c r="E404" s="15" t="s">
        <v>479</v>
      </c>
      <c r="F404" s="15">
        <v>297084670</v>
      </c>
      <c r="G404" s="15" t="s">
        <v>480</v>
      </c>
      <c r="H404" s="15" t="s">
        <v>382</v>
      </c>
      <c r="I404" s="15" t="s">
        <v>481</v>
      </c>
      <c r="J404" s="15">
        <v>2021</v>
      </c>
      <c r="K404" s="15">
        <v>0.29708467</v>
      </c>
    </row>
    <row r="405" spans="1:11" x14ac:dyDescent="0.2">
      <c r="A405" s="17" t="s">
        <v>482</v>
      </c>
      <c r="B405" s="17" t="s">
        <v>68</v>
      </c>
      <c r="C405" s="18">
        <v>44937</v>
      </c>
      <c r="D405" s="17">
        <v>1250000000</v>
      </c>
      <c r="E405" s="17" t="s">
        <v>54</v>
      </c>
      <c r="F405" s="17">
        <v>1341687500</v>
      </c>
      <c r="G405" s="17" t="s">
        <v>483</v>
      </c>
      <c r="H405" s="17" t="s">
        <v>382</v>
      </c>
      <c r="I405" s="17" t="s">
        <v>484</v>
      </c>
      <c r="J405" s="17">
        <v>2023</v>
      </c>
      <c r="K405" s="17">
        <v>1.3416874999999999</v>
      </c>
    </row>
    <row r="406" spans="1:11" x14ac:dyDescent="0.2">
      <c r="A406" s="15" t="s">
        <v>482</v>
      </c>
      <c r="B406" s="15" t="s">
        <v>68</v>
      </c>
      <c r="C406" s="16">
        <v>44599</v>
      </c>
      <c r="D406" s="15">
        <v>50000000</v>
      </c>
      <c r="E406" s="15" t="s">
        <v>54</v>
      </c>
      <c r="F406" s="15">
        <v>57235000</v>
      </c>
      <c r="G406" s="15" t="s">
        <v>483</v>
      </c>
      <c r="H406" s="15" t="s">
        <v>382</v>
      </c>
      <c r="I406" s="15" t="s">
        <v>484</v>
      </c>
      <c r="J406" s="15">
        <v>2022</v>
      </c>
      <c r="K406" s="15">
        <v>5.7235000000000001E-2</v>
      </c>
    </row>
    <row r="407" spans="1:11" x14ac:dyDescent="0.2">
      <c r="A407" s="17" t="s">
        <v>482</v>
      </c>
      <c r="B407" s="17" t="s">
        <v>68</v>
      </c>
      <c r="C407" s="18">
        <v>44754</v>
      </c>
      <c r="D407" s="17">
        <v>89946000</v>
      </c>
      <c r="E407" s="17" t="s">
        <v>54</v>
      </c>
      <c r="F407" s="17">
        <v>90323773</v>
      </c>
      <c r="G407" s="17" t="s">
        <v>483</v>
      </c>
      <c r="H407" s="17" t="s">
        <v>382</v>
      </c>
      <c r="I407" s="17" t="s">
        <v>484</v>
      </c>
      <c r="J407" s="17">
        <v>2022</v>
      </c>
      <c r="K407" s="17">
        <v>9.0323772999999996E-2</v>
      </c>
    </row>
    <row r="408" spans="1:11" x14ac:dyDescent="0.2">
      <c r="A408" s="15" t="s">
        <v>482</v>
      </c>
      <c r="B408" s="15" t="s">
        <v>68</v>
      </c>
      <c r="C408" s="16">
        <v>44862</v>
      </c>
      <c r="D408" s="15">
        <v>100000000</v>
      </c>
      <c r="E408" s="15" t="s">
        <v>54</v>
      </c>
      <c r="F408" s="15">
        <v>99510000</v>
      </c>
      <c r="G408" s="15" t="s">
        <v>483</v>
      </c>
      <c r="H408" s="15" t="s">
        <v>382</v>
      </c>
      <c r="I408" s="15" t="s">
        <v>484</v>
      </c>
      <c r="J408" s="15">
        <v>2022</v>
      </c>
      <c r="K408" s="15">
        <v>9.9510000000000001E-2</v>
      </c>
    </row>
    <row r="409" spans="1:11" x14ac:dyDescent="0.2">
      <c r="A409" s="17" t="s">
        <v>482</v>
      </c>
      <c r="B409" s="17" t="s">
        <v>68</v>
      </c>
      <c r="C409" s="18">
        <v>44378</v>
      </c>
      <c r="D409" s="17">
        <v>1000000000</v>
      </c>
      <c r="E409" s="17" t="s">
        <v>54</v>
      </c>
      <c r="F409" s="17">
        <v>1188400000</v>
      </c>
      <c r="G409" s="17" t="s">
        <v>483</v>
      </c>
      <c r="H409" s="17" t="s">
        <v>382</v>
      </c>
      <c r="I409" s="17" t="s">
        <v>484</v>
      </c>
      <c r="J409" s="17">
        <v>2021</v>
      </c>
      <c r="K409" s="17">
        <v>1.1883999999999999</v>
      </c>
    </row>
    <row r="410" spans="1:11" x14ac:dyDescent="0.2">
      <c r="A410" s="15" t="s">
        <v>485</v>
      </c>
      <c r="B410" s="15" t="s">
        <v>53</v>
      </c>
      <c r="C410" s="16">
        <v>44788</v>
      </c>
      <c r="D410" s="15">
        <v>2400000000</v>
      </c>
      <c r="E410" s="15" t="s">
        <v>233</v>
      </c>
      <c r="F410" s="15">
        <v>1753317787</v>
      </c>
      <c r="G410" s="15" t="s">
        <v>234</v>
      </c>
      <c r="H410" s="15" t="s">
        <v>382</v>
      </c>
      <c r="I410" s="15" t="s">
        <v>486</v>
      </c>
      <c r="J410" s="15">
        <v>2022</v>
      </c>
      <c r="K410" s="15">
        <v>1.7533177870000001</v>
      </c>
    </row>
    <row r="411" spans="1:11" x14ac:dyDescent="0.2">
      <c r="A411" s="17" t="s">
        <v>485</v>
      </c>
      <c r="B411" s="17" t="s">
        <v>53</v>
      </c>
      <c r="C411" s="18">
        <v>45173</v>
      </c>
      <c r="D411" s="17">
        <v>2800000000</v>
      </c>
      <c r="E411" s="17" t="s">
        <v>233</v>
      </c>
      <c r="F411" s="17">
        <v>2065658000</v>
      </c>
      <c r="G411" s="17" t="s">
        <v>234</v>
      </c>
      <c r="H411" s="17" t="s">
        <v>382</v>
      </c>
      <c r="I411" s="17" t="s">
        <v>486</v>
      </c>
      <c r="J411" s="17">
        <v>2023</v>
      </c>
      <c r="K411" s="17">
        <v>2.065658</v>
      </c>
    </row>
    <row r="412" spans="1:11" x14ac:dyDescent="0.2">
      <c r="A412" s="15" t="s">
        <v>418</v>
      </c>
      <c r="B412" s="15" t="s">
        <v>68</v>
      </c>
      <c r="C412" s="16">
        <v>45089</v>
      </c>
      <c r="D412" s="15">
        <v>9185000000</v>
      </c>
      <c r="E412" s="15" t="s">
        <v>487</v>
      </c>
      <c r="F412" s="15">
        <v>2502453250</v>
      </c>
      <c r="G412" s="15" t="s">
        <v>419</v>
      </c>
      <c r="H412" s="15" t="s">
        <v>382</v>
      </c>
      <c r="I412" s="15" t="s">
        <v>420</v>
      </c>
      <c r="J412" s="15">
        <v>2023</v>
      </c>
      <c r="K412" s="15">
        <v>2.5024532499999999</v>
      </c>
    </row>
    <row r="413" spans="1:11" x14ac:dyDescent="0.2">
      <c r="A413" s="17" t="s">
        <v>418</v>
      </c>
      <c r="B413" s="17" t="s">
        <v>68</v>
      </c>
      <c r="C413" s="18">
        <v>45243</v>
      </c>
      <c r="D413" s="17">
        <v>7472678000</v>
      </c>
      <c r="E413" s="17" t="s">
        <v>487</v>
      </c>
      <c r="F413" s="17">
        <v>1960561691</v>
      </c>
      <c r="G413" s="17" t="s">
        <v>419</v>
      </c>
      <c r="H413" s="17" t="s">
        <v>382</v>
      </c>
      <c r="I413" s="17" t="s">
        <v>420</v>
      </c>
      <c r="J413" s="17">
        <v>2023</v>
      </c>
      <c r="K413" s="17">
        <v>1.9605616910000001</v>
      </c>
    </row>
    <row r="414" spans="1:11" x14ac:dyDescent="0.2">
      <c r="A414" s="15" t="s">
        <v>418</v>
      </c>
      <c r="B414" s="15" t="s">
        <v>68</v>
      </c>
      <c r="C414" s="16">
        <v>45369</v>
      </c>
      <c r="D414" s="15">
        <v>150000000</v>
      </c>
      <c r="E414" s="15" t="s">
        <v>487</v>
      </c>
      <c r="F414" s="15">
        <v>40211700</v>
      </c>
      <c r="G414" s="15" t="s">
        <v>419</v>
      </c>
      <c r="H414" s="15" t="s">
        <v>382</v>
      </c>
      <c r="I414" s="15" t="s">
        <v>420</v>
      </c>
      <c r="J414" s="15">
        <v>2024</v>
      </c>
      <c r="K414" s="15">
        <v>4.0211700000000003E-2</v>
      </c>
    </row>
    <row r="415" spans="1:11" x14ac:dyDescent="0.2">
      <c r="A415" s="17" t="s">
        <v>488</v>
      </c>
      <c r="B415" s="17" t="s">
        <v>53</v>
      </c>
      <c r="C415" s="18">
        <v>44887</v>
      </c>
      <c r="D415" s="17">
        <v>3150000000</v>
      </c>
      <c r="E415" s="17" t="s">
        <v>489</v>
      </c>
      <c r="F415" s="17">
        <v>1939023450</v>
      </c>
      <c r="G415" s="17" t="s">
        <v>490</v>
      </c>
      <c r="H415" s="17" t="s">
        <v>382</v>
      </c>
      <c r="I415" s="17" t="s">
        <v>491</v>
      </c>
      <c r="J415" s="17">
        <v>2022</v>
      </c>
      <c r="K415" s="17">
        <v>1.9390234500000001</v>
      </c>
    </row>
    <row r="416" spans="1:11" x14ac:dyDescent="0.2">
      <c r="A416" s="15" t="s">
        <v>488</v>
      </c>
      <c r="B416" s="15" t="s">
        <v>53</v>
      </c>
      <c r="C416" s="16">
        <v>44985</v>
      </c>
      <c r="D416" s="15">
        <v>150000000</v>
      </c>
      <c r="E416" s="15" t="s">
        <v>489</v>
      </c>
      <c r="F416" s="15">
        <v>92765250</v>
      </c>
      <c r="G416" s="15" t="s">
        <v>490</v>
      </c>
      <c r="H416" s="15" t="s">
        <v>382</v>
      </c>
      <c r="I416" s="15" t="s">
        <v>491</v>
      </c>
      <c r="J416" s="15">
        <v>2023</v>
      </c>
      <c r="K416" s="15">
        <v>9.2765249999999994E-2</v>
      </c>
    </row>
    <row r="417" spans="1:11" x14ac:dyDescent="0.2">
      <c r="A417" s="17" t="s">
        <v>488</v>
      </c>
      <c r="B417" s="17" t="s">
        <v>53</v>
      </c>
      <c r="C417" s="18">
        <v>45029</v>
      </c>
      <c r="D417" s="17">
        <v>150000000</v>
      </c>
      <c r="E417" s="17" t="s">
        <v>489</v>
      </c>
      <c r="F417" s="17">
        <v>94562100</v>
      </c>
      <c r="G417" s="17" t="s">
        <v>490</v>
      </c>
      <c r="H417" s="17" t="s">
        <v>382</v>
      </c>
      <c r="I417" s="17" t="s">
        <v>491</v>
      </c>
      <c r="J417" s="17">
        <v>2023</v>
      </c>
      <c r="K417" s="17">
        <v>9.4562099999999996E-2</v>
      </c>
    </row>
    <row r="418" spans="1:11" x14ac:dyDescent="0.2">
      <c r="A418" s="15" t="s">
        <v>488</v>
      </c>
      <c r="B418" s="15" t="s">
        <v>53</v>
      </c>
      <c r="C418" s="16">
        <v>45042</v>
      </c>
      <c r="D418" s="15">
        <v>150000000</v>
      </c>
      <c r="E418" s="15" t="s">
        <v>489</v>
      </c>
      <c r="F418" s="15">
        <v>91798200</v>
      </c>
      <c r="G418" s="15" t="s">
        <v>490</v>
      </c>
      <c r="H418" s="15" t="s">
        <v>382</v>
      </c>
      <c r="I418" s="15" t="s">
        <v>491</v>
      </c>
      <c r="J418" s="15">
        <v>2023</v>
      </c>
      <c r="K418" s="15">
        <v>9.1798199999999996E-2</v>
      </c>
    </row>
    <row r="419" spans="1:11" x14ac:dyDescent="0.2">
      <c r="A419" s="17" t="s">
        <v>488</v>
      </c>
      <c r="B419" s="17" t="s">
        <v>53</v>
      </c>
      <c r="C419" s="18">
        <v>45146</v>
      </c>
      <c r="D419" s="17">
        <v>175000000</v>
      </c>
      <c r="E419" s="17" t="s">
        <v>489</v>
      </c>
      <c r="F419" s="17">
        <v>105984200</v>
      </c>
      <c r="G419" s="17" t="s">
        <v>490</v>
      </c>
      <c r="H419" s="17" t="s">
        <v>382</v>
      </c>
      <c r="I419" s="17" t="s">
        <v>491</v>
      </c>
      <c r="J419" s="17">
        <v>2023</v>
      </c>
      <c r="K419" s="17">
        <v>0.1059842</v>
      </c>
    </row>
    <row r="420" spans="1:11" x14ac:dyDescent="0.2">
      <c r="A420" s="15" t="s">
        <v>488</v>
      </c>
      <c r="B420" s="15" t="s">
        <v>53</v>
      </c>
      <c r="C420" s="16">
        <v>45112</v>
      </c>
      <c r="D420" s="15">
        <v>100000000</v>
      </c>
      <c r="E420" s="15" t="s">
        <v>489</v>
      </c>
      <c r="F420" s="15">
        <v>61762500</v>
      </c>
      <c r="G420" s="15" t="s">
        <v>490</v>
      </c>
      <c r="H420" s="15" t="s">
        <v>382</v>
      </c>
      <c r="I420" s="15" t="s">
        <v>491</v>
      </c>
      <c r="J420" s="15">
        <v>2023</v>
      </c>
      <c r="K420" s="15">
        <v>6.1762499999999998E-2</v>
      </c>
    </row>
    <row r="421" spans="1:11" x14ac:dyDescent="0.2">
      <c r="A421" s="17" t="s">
        <v>488</v>
      </c>
      <c r="B421" s="17" t="s">
        <v>53</v>
      </c>
      <c r="C421" s="18">
        <v>45111</v>
      </c>
      <c r="D421" s="17">
        <v>150000000</v>
      </c>
      <c r="E421" s="17" t="s">
        <v>489</v>
      </c>
      <c r="F421" s="17">
        <v>92960100</v>
      </c>
      <c r="G421" s="17" t="s">
        <v>490</v>
      </c>
      <c r="H421" s="17" t="s">
        <v>382</v>
      </c>
      <c r="I421" s="17" t="s">
        <v>491</v>
      </c>
      <c r="J421" s="17">
        <v>2023</v>
      </c>
      <c r="K421" s="17">
        <v>9.2960100000000004E-2</v>
      </c>
    </row>
    <row r="422" spans="1:11" x14ac:dyDescent="0.2">
      <c r="A422" s="15" t="s">
        <v>488</v>
      </c>
      <c r="B422" s="15" t="s">
        <v>53</v>
      </c>
      <c r="C422" s="16">
        <v>45084</v>
      </c>
      <c r="D422" s="15">
        <v>150000000</v>
      </c>
      <c r="E422" s="15" t="s">
        <v>489</v>
      </c>
      <c r="F422" s="15">
        <v>90623250</v>
      </c>
      <c r="G422" s="15" t="s">
        <v>490</v>
      </c>
      <c r="H422" s="15" t="s">
        <v>382</v>
      </c>
      <c r="I422" s="15" t="s">
        <v>491</v>
      </c>
      <c r="J422" s="15">
        <v>2023</v>
      </c>
      <c r="K422" s="15">
        <v>9.0623250000000002E-2</v>
      </c>
    </row>
    <row r="423" spans="1:11" x14ac:dyDescent="0.2">
      <c r="A423" s="17" t="s">
        <v>488</v>
      </c>
      <c r="B423" s="17" t="s">
        <v>53</v>
      </c>
      <c r="C423" s="18">
        <v>45097</v>
      </c>
      <c r="D423" s="17">
        <v>150000000</v>
      </c>
      <c r="E423" s="17" t="s">
        <v>489</v>
      </c>
      <c r="F423" s="17">
        <v>92490750</v>
      </c>
      <c r="G423" s="17" t="s">
        <v>490</v>
      </c>
      <c r="H423" s="17" t="s">
        <v>382</v>
      </c>
      <c r="I423" s="17" t="s">
        <v>491</v>
      </c>
      <c r="J423" s="17">
        <v>2023</v>
      </c>
      <c r="K423" s="17">
        <v>9.2490749999999997E-2</v>
      </c>
    </row>
    <row r="424" spans="1:11" x14ac:dyDescent="0.2">
      <c r="A424" s="15" t="s">
        <v>488</v>
      </c>
      <c r="B424" s="15" t="s">
        <v>53</v>
      </c>
      <c r="C424" s="16">
        <v>44971</v>
      </c>
      <c r="D424" s="15">
        <v>150000000</v>
      </c>
      <c r="E424" s="15" t="s">
        <v>489</v>
      </c>
      <c r="F424" s="15">
        <v>95014050</v>
      </c>
      <c r="G424" s="15" t="s">
        <v>490</v>
      </c>
      <c r="H424" s="15" t="s">
        <v>382</v>
      </c>
      <c r="I424" s="15" t="s">
        <v>491</v>
      </c>
      <c r="J424" s="15">
        <v>2023</v>
      </c>
      <c r="K424" s="15">
        <v>9.5014050000000003E-2</v>
      </c>
    </row>
    <row r="425" spans="1:11" x14ac:dyDescent="0.2">
      <c r="A425" s="17" t="s">
        <v>488</v>
      </c>
      <c r="B425" s="17" t="s">
        <v>53</v>
      </c>
      <c r="C425" s="18">
        <v>45160</v>
      </c>
      <c r="D425" s="17">
        <v>150000000</v>
      </c>
      <c r="E425" s="17" t="s">
        <v>489</v>
      </c>
      <c r="F425" s="17">
        <v>89103600</v>
      </c>
      <c r="G425" s="17" t="s">
        <v>490</v>
      </c>
      <c r="H425" s="17" t="s">
        <v>382</v>
      </c>
      <c r="I425" s="17" t="s">
        <v>491</v>
      </c>
      <c r="J425" s="17">
        <v>2023</v>
      </c>
      <c r="K425" s="17">
        <v>8.9103600000000005E-2</v>
      </c>
    </row>
    <row r="426" spans="1:11" x14ac:dyDescent="0.2">
      <c r="A426" s="15" t="s">
        <v>488</v>
      </c>
      <c r="B426" s="15" t="s">
        <v>53</v>
      </c>
      <c r="C426" s="16">
        <v>45181</v>
      </c>
      <c r="D426" s="15">
        <v>100000000</v>
      </c>
      <c r="E426" s="15" t="s">
        <v>489</v>
      </c>
      <c r="F426" s="15">
        <v>59093300</v>
      </c>
      <c r="G426" s="15" t="s">
        <v>490</v>
      </c>
      <c r="H426" s="15" t="s">
        <v>382</v>
      </c>
      <c r="I426" s="15" t="s">
        <v>491</v>
      </c>
      <c r="J426" s="15">
        <v>2023</v>
      </c>
      <c r="K426" s="15">
        <v>5.9093300000000001E-2</v>
      </c>
    </row>
    <row r="427" spans="1:11" x14ac:dyDescent="0.2">
      <c r="A427" s="17" t="s">
        <v>488</v>
      </c>
      <c r="B427" s="17" t="s">
        <v>53</v>
      </c>
      <c r="C427" s="18">
        <v>45202</v>
      </c>
      <c r="D427" s="17">
        <v>200000000</v>
      </c>
      <c r="E427" s="17" t="s">
        <v>489</v>
      </c>
      <c r="F427" s="17">
        <v>118258800</v>
      </c>
      <c r="G427" s="17" t="s">
        <v>490</v>
      </c>
      <c r="H427" s="17" t="s">
        <v>382</v>
      </c>
      <c r="I427" s="17" t="s">
        <v>491</v>
      </c>
      <c r="J427" s="17">
        <v>2023</v>
      </c>
      <c r="K427" s="17">
        <v>0.1182588</v>
      </c>
    </row>
    <row r="428" spans="1:11" x14ac:dyDescent="0.2">
      <c r="A428" s="15" t="s">
        <v>488</v>
      </c>
      <c r="B428" s="15" t="s">
        <v>53</v>
      </c>
      <c r="C428" s="16">
        <v>45225</v>
      </c>
      <c r="D428" s="15">
        <v>200000000</v>
      </c>
      <c r="E428" s="15" t="s">
        <v>489</v>
      </c>
      <c r="F428" s="15">
        <v>116433400</v>
      </c>
      <c r="G428" s="15" t="s">
        <v>490</v>
      </c>
      <c r="H428" s="15" t="s">
        <v>382</v>
      </c>
      <c r="I428" s="15" t="s">
        <v>491</v>
      </c>
      <c r="J428" s="15">
        <v>2023</v>
      </c>
      <c r="K428" s="15">
        <v>0.11643340000000001</v>
      </c>
    </row>
    <row r="429" spans="1:11" x14ac:dyDescent="0.2">
      <c r="A429" s="17" t="s">
        <v>488</v>
      </c>
      <c r="B429" s="17" t="s">
        <v>53</v>
      </c>
      <c r="C429" s="18">
        <v>45237</v>
      </c>
      <c r="D429" s="17">
        <v>175000000</v>
      </c>
      <c r="E429" s="17" t="s">
        <v>489</v>
      </c>
      <c r="F429" s="17">
        <v>102949700</v>
      </c>
      <c r="G429" s="17" t="s">
        <v>490</v>
      </c>
      <c r="H429" s="17" t="s">
        <v>382</v>
      </c>
      <c r="I429" s="17" t="s">
        <v>491</v>
      </c>
      <c r="J429" s="17">
        <v>2023</v>
      </c>
      <c r="K429" s="17">
        <v>0.10294970000000001</v>
      </c>
    </row>
    <row r="430" spans="1:11" x14ac:dyDescent="0.2">
      <c r="A430" s="15" t="s">
        <v>488</v>
      </c>
      <c r="B430" s="15" t="s">
        <v>53</v>
      </c>
      <c r="C430" s="16">
        <v>45321</v>
      </c>
      <c r="D430" s="15">
        <v>175000000</v>
      </c>
      <c r="E430" s="15" t="s">
        <v>489</v>
      </c>
      <c r="F430" s="15">
        <v>107297050</v>
      </c>
      <c r="G430" s="15" t="s">
        <v>490</v>
      </c>
      <c r="H430" s="15" t="s">
        <v>382</v>
      </c>
      <c r="I430" s="15" t="s">
        <v>491</v>
      </c>
      <c r="J430" s="15">
        <v>2024</v>
      </c>
      <c r="K430" s="15">
        <v>0.10729705</v>
      </c>
    </row>
    <row r="431" spans="1:11" x14ac:dyDescent="0.2">
      <c r="A431" s="17" t="s">
        <v>492</v>
      </c>
      <c r="B431" s="17" t="s">
        <v>53</v>
      </c>
      <c r="C431" s="18">
        <v>44005</v>
      </c>
      <c r="D431" s="17">
        <v>1420000000</v>
      </c>
      <c r="E431" s="17" t="s">
        <v>54</v>
      </c>
      <c r="F431" s="17">
        <v>1607156000</v>
      </c>
      <c r="G431" s="17" t="s">
        <v>76</v>
      </c>
      <c r="H431" s="17" t="s">
        <v>382</v>
      </c>
      <c r="I431" s="17" t="s">
        <v>493</v>
      </c>
      <c r="J431" s="17">
        <v>2020</v>
      </c>
      <c r="K431" s="17">
        <v>1.607156</v>
      </c>
    </row>
    <row r="432" spans="1:11" x14ac:dyDescent="0.2">
      <c r="A432" s="15" t="s">
        <v>492</v>
      </c>
      <c r="B432" s="15" t="s">
        <v>53</v>
      </c>
      <c r="C432" s="16">
        <v>43847</v>
      </c>
      <c r="D432" s="15">
        <v>1374000000</v>
      </c>
      <c r="E432" s="15" t="s">
        <v>54</v>
      </c>
      <c r="F432" s="15">
        <v>1526239200</v>
      </c>
      <c r="G432" s="15" t="s">
        <v>76</v>
      </c>
      <c r="H432" s="15" t="s">
        <v>382</v>
      </c>
      <c r="I432" s="15" t="s">
        <v>493</v>
      </c>
      <c r="J432" s="15">
        <v>2020</v>
      </c>
      <c r="K432" s="15">
        <v>1.5262392</v>
      </c>
    </row>
    <row r="433" spans="1:11" x14ac:dyDescent="0.2">
      <c r="A433" s="17" t="s">
        <v>492</v>
      </c>
      <c r="B433" s="17" t="s">
        <v>53</v>
      </c>
      <c r="C433" s="18">
        <v>43608</v>
      </c>
      <c r="D433" s="17">
        <v>5985004000</v>
      </c>
      <c r="E433" s="17" t="s">
        <v>54</v>
      </c>
      <c r="F433" s="17">
        <v>6662386752</v>
      </c>
      <c r="G433" s="17" t="s">
        <v>76</v>
      </c>
      <c r="H433" s="17" t="s">
        <v>382</v>
      </c>
      <c r="I433" s="17" t="s">
        <v>493</v>
      </c>
      <c r="J433" s="17">
        <v>2019</v>
      </c>
      <c r="K433" s="17">
        <v>6.6623867519999997</v>
      </c>
    </row>
    <row r="434" spans="1:11" x14ac:dyDescent="0.2">
      <c r="A434" s="15" t="s">
        <v>492</v>
      </c>
      <c r="B434" s="15" t="s">
        <v>53</v>
      </c>
      <c r="C434" s="16">
        <v>45218</v>
      </c>
      <c r="D434" s="15">
        <v>4981953000</v>
      </c>
      <c r="E434" s="15" t="s">
        <v>54</v>
      </c>
      <c r="F434" s="15">
        <v>5257694135</v>
      </c>
      <c r="G434" s="15" t="s">
        <v>76</v>
      </c>
      <c r="H434" s="15" t="s">
        <v>382</v>
      </c>
      <c r="I434" s="15" t="s">
        <v>493</v>
      </c>
      <c r="J434" s="15">
        <v>2023</v>
      </c>
      <c r="K434" s="15">
        <v>5.2576941350000004</v>
      </c>
    </row>
    <row r="435" spans="1:11" x14ac:dyDescent="0.2">
      <c r="A435" s="17" t="s">
        <v>492</v>
      </c>
      <c r="B435" s="17" t="s">
        <v>53</v>
      </c>
      <c r="C435" s="18">
        <v>45351</v>
      </c>
      <c r="D435" s="17">
        <v>2000000000</v>
      </c>
      <c r="E435" s="17" t="s">
        <v>54</v>
      </c>
      <c r="F435" s="17">
        <v>2160888000</v>
      </c>
      <c r="G435" s="17" t="s">
        <v>76</v>
      </c>
      <c r="H435" s="17" t="s">
        <v>382</v>
      </c>
      <c r="I435" s="17" t="s">
        <v>493</v>
      </c>
      <c r="J435" s="17">
        <v>2024</v>
      </c>
      <c r="K435" s="17">
        <v>2.1608879999999999</v>
      </c>
    </row>
    <row r="436" spans="1:11" x14ac:dyDescent="0.2">
      <c r="A436" s="15" t="s">
        <v>492</v>
      </c>
      <c r="B436" s="15" t="s">
        <v>53</v>
      </c>
      <c r="C436" s="16">
        <v>45356</v>
      </c>
      <c r="D436" s="15">
        <v>154000000</v>
      </c>
      <c r="E436" s="15" t="s">
        <v>54</v>
      </c>
      <c r="F436" s="15">
        <v>167179628</v>
      </c>
      <c r="G436" s="15" t="s">
        <v>76</v>
      </c>
      <c r="H436" s="15" t="s">
        <v>382</v>
      </c>
      <c r="I436" s="15" t="s">
        <v>493</v>
      </c>
      <c r="J436" s="15">
        <v>2024</v>
      </c>
      <c r="K436" s="15">
        <v>0.167179628</v>
      </c>
    </row>
    <row r="437" spans="1:11" x14ac:dyDescent="0.2">
      <c r="A437" s="17" t="s">
        <v>492</v>
      </c>
      <c r="B437" s="17" t="s">
        <v>53</v>
      </c>
      <c r="C437" s="18">
        <v>44726</v>
      </c>
      <c r="D437" s="17">
        <v>5000000000</v>
      </c>
      <c r="E437" s="17" t="s">
        <v>54</v>
      </c>
      <c r="F437" s="17">
        <v>5226000000</v>
      </c>
      <c r="G437" s="17" t="s">
        <v>76</v>
      </c>
      <c r="H437" s="17" t="s">
        <v>382</v>
      </c>
      <c r="I437" s="17" t="s">
        <v>493</v>
      </c>
      <c r="J437" s="17">
        <v>2022</v>
      </c>
      <c r="K437" s="17">
        <v>5.226</v>
      </c>
    </row>
    <row r="438" spans="1:11" x14ac:dyDescent="0.2">
      <c r="A438" s="15" t="s">
        <v>492</v>
      </c>
      <c r="B438" s="15" t="s">
        <v>53</v>
      </c>
      <c r="C438" s="16">
        <v>44250</v>
      </c>
      <c r="D438" s="15">
        <v>1715000000</v>
      </c>
      <c r="E438" s="15" t="s">
        <v>54</v>
      </c>
      <c r="F438" s="15">
        <v>2082524500</v>
      </c>
      <c r="G438" s="15" t="s">
        <v>76</v>
      </c>
      <c r="H438" s="15" t="s">
        <v>382</v>
      </c>
      <c r="I438" s="15" t="s">
        <v>493</v>
      </c>
      <c r="J438" s="15">
        <v>2021</v>
      </c>
      <c r="K438" s="15">
        <v>2.0825244999999999</v>
      </c>
    </row>
    <row r="439" spans="1:11" x14ac:dyDescent="0.2">
      <c r="A439" s="17" t="s">
        <v>492</v>
      </c>
      <c r="B439" s="17" t="s">
        <v>53</v>
      </c>
      <c r="C439" s="18">
        <v>44008</v>
      </c>
      <c r="D439" s="17">
        <v>214000000</v>
      </c>
      <c r="E439" s="17" t="s">
        <v>54</v>
      </c>
      <c r="F439" s="17">
        <v>239958200</v>
      </c>
      <c r="G439" s="17" t="s">
        <v>76</v>
      </c>
      <c r="H439" s="17" t="s">
        <v>382</v>
      </c>
      <c r="I439" s="17" t="s">
        <v>493</v>
      </c>
      <c r="J439" s="17">
        <v>2020</v>
      </c>
      <c r="K439" s="17">
        <v>0.23995820000000001</v>
      </c>
    </row>
    <row r="440" spans="1:11" x14ac:dyDescent="0.2">
      <c r="A440" s="15" t="s">
        <v>494</v>
      </c>
      <c r="B440" s="15" t="s">
        <v>53</v>
      </c>
      <c r="C440" s="16">
        <v>43630</v>
      </c>
      <c r="D440" s="15">
        <v>15000000000</v>
      </c>
      <c r="E440" s="15" t="s">
        <v>495</v>
      </c>
      <c r="F440" s="15">
        <v>41584650</v>
      </c>
      <c r="G440" s="15" t="s">
        <v>496</v>
      </c>
      <c r="H440" s="15" t="s">
        <v>382</v>
      </c>
      <c r="I440" s="15" t="s">
        <v>497</v>
      </c>
      <c r="J440" s="15">
        <v>2019</v>
      </c>
      <c r="K440" s="15">
        <v>4.1584650000000001E-2</v>
      </c>
    </row>
    <row r="441" spans="1:11" x14ac:dyDescent="0.2">
      <c r="A441" s="17" t="s">
        <v>498</v>
      </c>
      <c r="B441" s="17" t="s">
        <v>68</v>
      </c>
      <c r="C441" s="18">
        <v>44834</v>
      </c>
      <c r="D441" s="17">
        <v>4500000000</v>
      </c>
      <c r="E441" s="17" t="s">
        <v>257</v>
      </c>
      <c r="F441" s="17">
        <v>970465255</v>
      </c>
      <c r="G441" s="17" t="s">
        <v>258</v>
      </c>
      <c r="H441" s="17" t="s">
        <v>382</v>
      </c>
      <c r="I441" s="17" t="s">
        <v>499</v>
      </c>
      <c r="J441" s="17">
        <v>2022</v>
      </c>
      <c r="K441" s="17">
        <v>0.97046525500000003</v>
      </c>
    </row>
    <row r="442" spans="1:11" x14ac:dyDescent="0.2">
      <c r="A442" s="15" t="s">
        <v>498</v>
      </c>
      <c r="B442" s="15" t="s">
        <v>68</v>
      </c>
      <c r="C442" s="16">
        <v>44985</v>
      </c>
      <c r="D442" s="15">
        <v>5500000000</v>
      </c>
      <c r="E442" s="15" t="s">
        <v>257</v>
      </c>
      <c r="F442" s="15">
        <v>1225620632</v>
      </c>
      <c r="G442" s="15" t="s">
        <v>258</v>
      </c>
      <c r="H442" s="15" t="s">
        <v>382</v>
      </c>
      <c r="I442" s="15" t="s">
        <v>499</v>
      </c>
      <c r="J442" s="15">
        <v>2023</v>
      </c>
      <c r="K442" s="15">
        <v>1.225620632</v>
      </c>
    </row>
    <row r="443" spans="1:11" x14ac:dyDescent="0.2">
      <c r="A443" s="17" t="s">
        <v>390</v>
      </c>
      <c r="B443" s="17" t="s">
        <v>68</v>
      </c>
      <c r="C443" s="18">
        <v>44897</v>
      </c>
      <c r="D443" s="17">
        <v>250000000</v>
      </c>
      <c r="E443" s="17" t="s">
        <v>265</v>
      </c>
      <c r="F443" s="17">
        <v>13050478</v>
      </c>
      <c r="G443" s="17" t="s">
        <v>266</v>
      </c>
      <c r="H443" s="17" t="s">
        <v>382</v>
      </c>
      <c r="I443" s="17" t="s">
        <v>391</v>
      </c>
      <c r="J443" s="17">
        <v>2022</v>
      </c>
      <c r="K443" s="17">
        <v>1.3050478000000001E-2</v>
      </c>
    </row>
    <row r="444" spans="1:11" x14ac:dyDescent="0.2">
      <c r="A444" s="15" t="s">
        <v>390</v>
      </c>
      <c r="B444" s="15" t="s">
        <v>68</v>
      </c>
      <c r="C444" s="16">
        <v>45363</v>
      </c>
      <c r="D444" s="15">
        <v>11000000000</v>
      </c>
      <c r="E444" s="15" t="s">
        <v>265</v>
      </c>
      <c r="F444" s="15">
        <v>653748781</v>
      </c>
      <c r="G444" s="15" t="s">
        <v>266</v>
      </c>
      <c r="H444" s="15" t="s">
        <v>382</v>
      </c>
      <c r="I444" s="15" t="s">
        <v>391</v>
      </c>
      <c r="J444" s="15">
        <v>2024</v>
      </c>
      <c r="K444" s="15">
        <v>0.653748781</v>
      </c>
    </row>
    <row r="445" spans="1:11" x14ac:dyDescent="0.2">
      <c r="A445" s="17" t="s">
        <v>390</v>
      </c>
      <c r="B445" s="17" t="s">
        <v>68</v>
      </c>
      <c r="C445" s="18">
        <v>44764</v>
      </c>
      <c r="D445" s="17">
        <v>4770000000</v>
      </c>
      <c r="E445" s="17" t="s">
        <v>265</v>
      </c>
      <c r="F445" s="17">
        <v>231571098</v>
      </c>
      <c r="G445" s="17" t="s">
        <v>266</v>
      </c>
      <c r="H445" s="17" t="s">
        <v>382</v>
      </c>
      <c r="I445" s="17" t="s">
        <v>391</v>
      </c>
      <c r="J445" s="17">
        <v>2022</v>
      </c>
      <c r="K445" s="17">
        <v>0.231571098</v>
      </c>
    </row>
    <row r="446" spans="1:11" x14ac:dyDescent="0.2">
      <c r="A446" s="15" t="s">
        <v>390</v>
      </c>
      <c r="B446" s="15" t="s">
        <v>68</v>
      </c>
      <c r="C446" s="16">
        <v>44812</v>
      </c>
      <c r="D446" s="15">
        <v>4000000000</v>
      </c>
      <c r="E446" s="15" t="s">
        <v>163</v>
      </c>
      <c r="F446" s="15">
        <v>28836840</v>
      </c>
      <c r="G446" s="15" t="s">
        <v>266</v>
      </c>
      <c r="H446" s="15" t="s">
        <v>382</v>
      </c>
      <c r="I446" s="15" t="s">
        <v>391</v>
      </c>
      <c r="J446" s="15">
        <v>2022</v>
      </c>
      <c r="K446" s="15">
        <v>2.8836839999999999E-2</v>
      </c>
    </row>
    <row r="447" spans="1:11" x14ac:dyDescent="0.2">
      <c r="A447" s="17" t="s">
        <v>390</v>
      </c>
      <c r="B447" s="17" t="s">
        <v>68</v>
      </c>
      <c r="C447" s="18">
        <v>45044</v>
      </c>
      <c r="D447" s="17">
        <v>2030000000</v>
      </c>
      <c r="E447" s="17" t="s">
        <v>265</v>
      </c>
      <c r="F447" s="17">
        <v>112056406</v>
      </c>
      <c r="G447" s="17" t="s">
        <v>266</v>
      </c>
      <c r="H447" s="17" t="s">
        <v>382</v>
      </c>
      <c r="I447" s="17" t="s">
        <v>391</v>
      </c>
      <c r="J447" s="17">
        <v>2023</v>
      </c>
      <c r="K447" s="17">
        <v>0.112056406</v>
      </c>
    </row>
    <row r="448" spans="1:11" x14ac:dyDescent="0.2">
      <c r="A448" s="15" t="s">
        <v>390</v>
      </c>
      <c r="B448" s="15" t="s">
        <v>68</v>
      </c>
      <c r="C448" s="16">
        <v>45226</v>
      </c>
      <c r="D448" s="15">
        <v>6000000000</v>
      </c>
      <c r="E448" s="15" t="s">
        <v>265</v>
      </c>
      <c r="F448" s="15">
        <v>328136400</v>
      </c>
      <c r="G448" s="15" t="s">
        <v>266</v>
      </c>
      <c r="H448" s="15" t="s">
        <v>382</v>
      </c>
      <c r="I448" s="15" t="s">
        <v>391</v>
      </c>
      <c r="J448" s="15">
        <v>2023</v>
      </c>
      <c r="K448" s="15">
        <v>0.32813639999999999</v>
      </c>
    </row>
    <row r="449" spans="1:11" x14ac:dyDescent="0.2">
      <c r="A449" s="17" t="s">
        <v>390</v>
      </c>
      <c r="B449" s="17" t="s">
        <v>68</v>
      </c>
      <c r="C449" s="18">
        <v>45316</v>
      </c>
      <c r="D449" s="17">
        <v>2000000000</v>
      </c>
      <c r="E449" s="17" t="s">
        <v>54</v>
      </c>
      <c r="F449" s="17">
        <v>2178600000</v>
      </c>
      <c r="G449" s="17" t="s">
        <v>266</v>
      </c>
      <c r="H449" s="17" t="s">
        <v>382</v>
      </c>
      <c r="I449" s="17" t="s">
        <v>391</v>
      </c>
      <c r="J449" s="17">
        <v>2024</v>
      </c>
      <c r="K449" s="17">
        <v>2.1785999999999999</v>
      </c>
    </row>
    <row r="450" spans="1:11" x14ac:dyDescent="0.2">
      <c r="A450" s="15" t="s">
        <v>390</v>
      </c>
      <c r="B450" s="15" t="s">
        <v>68</v>
      </c>
      <c r="C450" s="16">
        <v>45363</v>
      </c>
      <c r="D450" s="15">
        <v>6000000000</v>
      </c>
      <c r="E450" s="15" t="s">
        <v>265</v>
      </c>
      <c r="F450" s="15">
        <v>356590244</v>
      </c>
      <c r="G450" s="15" t="s">
        <v>266</v>
      </c>
      <c r="H450" s="15" t="s">
        <v>382</v>
      </c>
      <c r="I450" s="15" t="s">
        <v>391</v>
      </c>
      <c r="J450" s="15">
        <v>2024</v>
      </c>
      <c r="K450" s="15">
        <v>0.356590244</v>
      </c>
    </row>
    <row r="451" spans="1:11" x14ac:dyDescent="0.2">
      <c r="A451" s="17" t="s">
        <v>390</v>
      </c>
      <c r="B451" s="17" t="s">
        <v>68</v>
      </c>
      <c r="C451" s="18">
        <v>44764</v>
      </c>
      <c r="D451" s="17">
        <v>10230000000</v>
      </c>
      <c r="E451" s="17" t="s">
        <v>265</v>
      </c>
      <c r="F451" s="17">
        <v>497357761</v>
      </c>
      <c r="G451" s="17" t="s">
        <v>266</v>
      </c>
      <c r="H451" s="17" t="s">
        <v>382</v>
      </c>
      <c r="I451" s="17" t="s">
        <v>391</v>
      </c>
      <c r="J451" s="17">
        <v>2022</v>
      </c>
      <c r="K451" s="17">
        <v>0.49735776100000001</v>
      </c>
    </row>
    <row r="452" spans="1:11" x14ac:dyDescent="0.2">
      <c r="A452" s="15" t="s">
        <v>390</v>
      </c>
      <c r="B452" s="15" t="s">
        <v>68</v>
      </c>
      <c r="C452" s="16">
        <v>45226</v>
      </c>
      <c r="D452" s="15">
        <v>3750000000</v>
      </c>
      <c r="E452" s="15" t="s">
        <v>265</v>
      </c>
      <c r="F452" s="15">
        <v>205085250</v>
      </c>
      <c r="G452" s="15" t="s">
        <v>266</v>
      </c>
      <c r="H452" s="15" t="s">
        <v>382</v>
      </c>
      <c r="I452" s="15" t="s">
        <v>391</v>
      </c>
      <c r="J452" s="15">
        <v>2023</v>
      </c>
      <c r="K452" s="15">
        <v>0.20508525</v>
      </c>
    </row>
    <row r="453" spans="1:11" x14ac:dyDescent="0.2">
      <c r="A453" s="17" t="s">
        <v>390</v>
      </c>
      <c r="B453" s="17" t="s">
        <v>68</v>
      </c>
      <c r="C453" s="18">
        <v>45044</v>
      </c>
      <c r="D453" s="17">
        <v>2941390000</v>
      </c>
      <c r="E453" s="17" t="s">
        <v>59</v>
      </c>
      <c r="F453" s="17">
        <v>2941390000</v>
      </c>
      <c r="G453" s="17" t="s">
        <v>266</v>
      </c>
      <c r="H453" s="17" t="s">
        <v>382</v>
      </c>
      <c r="I453" s="17" t="s">
        <v>391</v>
      </c>
      <c r="J453" s="17">
        <v>2023</v>
      </c>
      <c r="K453" s="17">
        <v>2.9413900000000002</v>
      </c>
    </row>
    <row r="454" spans="1:11" x14ac:dyDescent="0.2">
      <c r="A454" s="15" t="s">
        <v>390</v>
      </c>
      <c r="B454" s="15" t="s">
        <v>68</v>
      </c>
      <c r="C454" s="16">
        <v>44897</v>
      </c>
      <c r="D454" s="15"/>
      <c r="E454" s="15" t="s">
        <v>265</v>
      </c>
      <c r="F454" s="15">
        <v>370111556</v>
      </c>
      <c r="G454" s="15" t="s">
        <v>266</v>
      </c>
      <c r="H454" s="15" t="s">
        <v>382</v>
      </c>
      <c r="I454" s="15" t="s">
        <v>391</v>
      </c>
      <c r="J454" s="15">
        <v>2022</v>
      </c>
      <c r="K454" s="15">
        <v>0.37011155600000001</v>
      </c>
    </row>
    <row r="455" spans="1:11" x14ac:dyDescent="0.2">
      <c r="A455" s="17" t="s">
        <v>390</v>
      </c>
      <c r="B455" s="17" t="s">
        <v>68</v>
      </c>
      <c r="C455" s="18">
        <v>44685</v>
      </c>
      <c r="D455" s="17">
        <v>5480000000</v>
      </c>
      <c r="E455" s="17" t="s">
        <v>265</v>
      </c>
      <c r="F455" s="17">
        <v>271005837</v>
      </c>
      <c r="G455" s="17" t="s">
        <v>266</v>
      </c>
      <c r="H455" s="17" t="s">
        <v>382</v>
      </c>
      <c r="I455" s="17" t="s">
        <v>391</v>
      </c>
      <c r="J455" s="17">
        <v>2022</v>
      </c>
      <c r="K455" s="17">
        <v>0.27100583700000003</v>
      </c>
    </row>
    <row r="456" spans="1:11" x14ac:dyDescent="0.2">
      <c r="A456" s="15" t="s">
        <v>390</v>
      </c>
      <c r="B456" s="15" t="s">
        <v>68</v>
      </c>
      <c r="C456" s="16">
        <v>44897</v>
      </c>
      <c r="D456" s="15">
        <v>2660000000</v>
      </c>
      <c r="E456" s="15" t="s">
        <v>265</v>
      </c>
      <c r="F456" s="15">
        <v>138360432</v>
      </c>
      <c r="G456" s="15" t="s">
        <v>266</v>
      </c>
      <c r="H456" s="15" t="s">
        <v>382</v>
      </c>
      <c r="I456" s="15" t="s">
        <v>391</v>
      </c>
      <c r="J456" s="15">
        <v>2022</v>
      </c>
      <c r="K456" s="15">
        <v>0.13836043200000001</v>
      </c>
    </row>
    <row r="457" spans="1:11" x14ac:dyDescent="0.2">
      <c r="A457" s="17" t="s">
        <v>390</v>
      </c>
      <c r="B457" s="17" t="s">
        <v>68</v>
      </c>
      <c r="C457" s="18">
        <v>45044</v>
      </c>
      <c r="D457" s="17">
        <v>9400000000</v>
      </c>
      <c r="E457" s="17" t="s">
        <v>265</v>
      </c>
      <c r="F457" s="17">
        <v>518881880</v>
      </c>
      <c r="G457" s="17" t="s">
        <v>266</v>
      </c>
      <c r="H457" s="17" t="s">
        <v>382</v>
      </c>
      <c r="I457" s="17" t="s">
        <v>391</v>
      </c>
      <c r="J457" s="17">
        <v>2023</v>
      </c>
      <c r="K457" s="17">
        <v>0.51888188000000002</v>
      </c>
    </row>
    <row r="458" spans="1:11" x14ac:dyDescent="0.2">
      <c r="A458" s="15" t="s">
        <v>390</v>
      </c>
      <c r="B458" s="15" t="s">
        <v>68</v>
      </c>
      <c r="C458" s="16">
        <v>44685</v>
      </c>
      <c r="D458" s="15"/>
      <c r="E458" s="15" t="s">
        <v>265</v>
      </c>
      <c r="F458" s="15">
        <v>712599492</v>
      </c>
      <c r="G458" s="15" t="s">
        <v>266</v>
      </c>
      <c r="H458" s="15" t="s">
        <v>382</v>
      </c>
      <c r="I458" s="15" t="s">
        <v>391</v>
      </c>
      <c r="J458" s="15">
        <v>2022</v>
      </c>
      <c r="K458" s="15">
        <v>0.71259949199999995</v>
      </c>
    </row>
    <row r="459" spans="1:11" x14ac:dyDescent="0.2">
      <c r="A459" s="17" t="s">
        <v>390</v>
      </c>
      <c r="B459" s="17" t="s">
        <v>68</v>
      </c>
      <c r="C459" s="18">
        <v>44812</v>
      </c>
      <c r="D459" s="17">
        <v>14900000000</v>
      </c>
      <c r="E459" s="17" t="s">
        <v>163</v>
      </c>
      <c r="F459" s="17">
        <v>107417229</v>
      </c>
      <c r="G459" s="17" t="s">
        <v>266</v>
      </c>
      <c r="H459" s="17" t="s">
        <v>382</v>
      </c>
      <c r="I459" s="17" t="s">
        <v>391</v>
      </c>
      <c r="J459" s="17">
        <v>2022</v>
      </c>
      <c r="K459" s="17">
        <v>0.107417229</v>
      </c>
    </row>
    <row r="460" spans="1:11" x14ac:dyDescent="0.2">
      <c r="A460" s="15" t="s">
        <v>500</v>
      </c>
      <c r="B460" s="15" t="s">
        <v>68</v>
      </c>
      <c r="C460" s="16">
        <v>44088</v>
      </c>
      <c r="D460" s="15">
        <v>1500000000</v>
      </c>
      <c r="E460" s="15" t="s">
        <v>54</v>
      </c>
      <c r="F460" s="15">
        <v>1781400000</v>
      </c>
      <c r="G460" s="15" t="s">
        <v>501</v>
      </c>
      <c r="H460" s="15" t="s">
        <v>382</v>
      </c>
      <c r="I460" s="15" t="s">
        <v>502</v>
      </c>
      <c r="J460" s="15">
        <v>2020</v>
      </c>
      <c r="K460" s="15">
        <v>1.7814000000000001</v>
      </c>
    </row>
    <row r="461" spans="1:11" x14ac:dyDescent="0.2">
      <c r="A461" s="17" t="s">
        <v>503</v>
      </c>
      <c r="B461" s="17" t="s">
        <v>53</v>
      </c>
      <c r="C461" s="18">
        <v>43971</v>
      </c>
      <c r="D461" s="17">
        <v>28000000</v>
      </c>
      <c r="E461" s="17" t="s">
        <v>54</v>
      </c>
      <c r="F461" s="17">
        <v>30682400</v>
      </c>
      <c r="G461" s="17" t="s">
        <v>504</v>
      </c>
      <c r="H461" s="17" t="s">
        <v>382</v>
      </c>
      <c r="I461" s="17" t="s">
        <v>505</v>
      </c>
      <c r="J461" s="17">
        <v>2020</v>
      </c>
      <c r="K461" s="17">
        <v>3.0682399999999999E-2</v>
      </c>
    </row>
    <row r="462" spans="1:11" x14ac:dyDescent="0.2">
      <c r="A462" s="15" t="s">
        <v>503</v>
      </c>
      <c r="B462" s="15" t="s">
        <v>53</v>
      </c>
      <c r="C462" s="16">
        <v>43894</v>
      </c>
      <c r="D462" s="15">
        <v>20000000</v>
      </c>
      <c r="E462" s="15" t="s">
        <v>54</v>
      </c>
      <c r="F462" s="15">
        <v>22250000</v>
      </c>
      <c r="G462" s="15" t="s">
        <v>504</v>
      </c>
      <c r="H462" s="15" t="s">
        <v>382</v>
      </c>
      <c r="I462" s="15" t="s">
        <v>505</v>
      </c>
      <c r="J462" s="15">
        <v>2020</v>
      </c>
      <c r="K462" s="15">
        <v>2.2249999999999999E-2</v>
      </c>
    </row>
    <row r="463" spans="1:11" x14ac:dyDescent="0.2">
      <c r="A463" s="17" t="s">
        <v>503</v>
      </c>
      <c r="B463" s="17" t="s">
        <v>53</v>
      </c>
      <c r="C463" s="18">
        <v>43223</v>
      </c>
      <c r="D463" s="17">
        <v>20000000</v>
      </c>
      <c r="E463" s="17" t="s">
        <v>54</v>
      </c>
      <c r="F463" s="17">
        <v>23920000</v>
      </c>
      <c r="G463" s="17" t="s">
        <v>504</v>
      </c>
      <c r="H463" s="17" t="s">
        <v>382</v>
      </c>
      <c r="I463" s="17" t="s">
        <v>505</v>
      </c>
      <c r="J463" s="17">
        <v>2018</v>
      </c>
      <c r="K463" s="17">
        <v>2.392E-2</v>
      </c>
    </row>
    <row r="464" spans="1:11" x14ac:dyDescent="0.2">
      <c r="A464" s="15" t="s">
        <v>451</v>
      </c>
      <c r="B464" s="15" t="s">
        <v>68</v>
      </c>
      <c r="C464" s="16">
        <v>44673</v>
      </c>
      <c r="D464" s="15">
        <v>6000000000</v>
      </c>
      <c r="E464" s="15" t="s">
        <v>163</v>
      </c>
      <c r="F464" s="15">
        <v>47691300</v>
      </c>
      <c r="G464" s="15" t="s">
        <v>452</v>
      </c>
      <c r="H464" s="15" t="s">
        <v>382</v>
      </c>
      <c r="I464" s="15" t="s">
        <v>453</v>
      </c>
      <c r="J464" s="15">
        <v>2022</v>
      </c>
      <c r="K464" s="15">
        <v>4.7691299999999999E-2</v>
      </c>
    </row>
    <row r="465" spans="1:11" x14ac:dyDescent="0.2">
      <c r="A465" s="17" t="s">
        <v>451</v>
      </c>
      <c r="B465" s="17" t="s">
        <v>68</v>
      </c>
      <c r="C465" s="18">
        <v>44673</v>
      </c>
      <c r="D465" s="17">
        <v>7100000000</v>
      </c>
      <c r="E465" s="17" t="s">
        <v>163</v>
      </c>
      <c r="F465" s="17">
        <v>56434705</v>
      </c>
      <c r="G465" s="17" t="s">
        <v>452</v>
      </c>
      <c r="H465" s="17" t="s">
        <v>382</v>
      </c>
      <c r="I465" s="17" t="s">
        <v>453</v>
      </c>
      <c r="J465" s="17">
        <v>2022</v>
      </c>
      <c r="K465" s="17">
        <v>5.6434705000000002E-2</v>
      </c>
    </row>
    <row r="466" spans="1:11" x14ac:dyDescent="0.2">
      <c r="A466" s="15" t="s">
        <v>451</v>
      </c>
      <c r="B466" s="15" t="s">
        <v>68</v>
      </c>
      <c r="C466" s="16">
        <v>44673</v>
      </c>
      <c r="D466" s="15">
        <v>5000000000</v>
      </c>
      <c r="E466" s="15" t="s">
        <v>163</v>
      </c>
      <c r="F466" s="15">
        <v>39737250</v>
      </c>
      <c r="G466" s="15" t="s">
        <v>452</v>
      </c>
      <c r="H466" s="15" t="s">
        <v>382</v>
      </c>
      <c r="I466" s="15" t="s">
        <v>453</v>
      </c>
      <c r="J466" s="15">
        <v>2022</v>
      </c>
      <c r="K466" s="15">
        <v>3.9737250000000002E-2</v>
      </c>
    </row>
    <row r="467" spans="1:11" x14ac:dyDescent="0.2">
      <c r="A467" s="17" t="s">
        <v>451</v>
      </c>
      <c r="B467" s="17" t="s">
        <v>68</v>
      </c>
      <c r="C467" s="18">
        <v>44673</v>
      </c>
      <c r="D467" s="17">
        <v>52000000000</v>
      </c>
      <c r="E467" s="17" t="s">
        <v>163</v>
      </c>
      <c r="F467" s="17">
        <v>413267400</v>
      </c>
      <c r="G467" s="17" t="s">
        <v>452</v>
      </c>
      <c r="H467" s="17" t="s">
        <v>382</v>
      </c>
      <c r="I467" s="17" t="s">
        <v>453</v>
      </c>
      <c r="J467" s="17">
        <v>2022</v>
      </c>
      <c r="K467" s="17">
        <v>0.41326740000000001</v>
      </c>
    </row>
    <row r="468" spans="1:11" x14ac:dyDescent="0.2">
      <c r="A468" s="15" t="s">
        <v>390</v>
      </c>
      <c r="B468" s="15" t="s">
        <v>68</v>
      </c>
      <c r="C468" s="16">
        <v>44812</v>
      </c>
      <c r="D468" s="15">
        <v>29700000000</v>
      </c>
      <c r="E468" s="15" t="s">
        <v>163</v>
      </c>
      <c r="F468" s="15">
        <v>214113537</v>
      </c>
      <c r="G468" s="15" t="s">
        <v>266</v>
      </c>
      <c r="H468" s="15" t="s">
        <v>382</v>
      </c>
      <c r="I468" s="15" t="s">
        <v>391</v>
      </c>
      <c r="J468" s="15">
        <v>2022</v>
      </c>
      <c r="K468" s="15">
        <v>0.21411353699999999</v>
      </c>
    </row>
    <row r="469" spans="1:11" x14ac:dyDescent="0.2">
      <c r="A469" s="17" t="s">
        <v>390</v>
      </c>
      <c r="B469" s="17" t="s">
        <v>68</v>
      </c>
      <c r="C469" s="18">
        <v>44812</v>
      </c>
      <c r="D469" s="17">
        <v>3200000000</v>
      </c>
      <c r="E469" s="17" t="s">
        <v>163</v>
      </c>
      <c r="F469" s="17">
        <v>23069472</v>
      </c>
      <c r="G469" s="17" t="s">
        <v>266</v>
      </c>
      <c r="H469" s="17" t="s">
        <v>382</v>
      </c>
      <c r="I469" s="17" t="s">
        <v>391</v>
      </c>
      <c r="J469" s="17">
        <v>2022</v>
      </c>
      <c r="K469" s="17">
        <v>2.3069472000000001E-2</v>
      </c>
    </row>
    <row r="470" spans="1:11" x14ac:dyDescent="0.2">
      <c r="A470" s="15" t="s">
        <v>390</v>
      </c>
      <c r="B470" s="15" t="s">
        <v>68</v>
      </c>
      <c r="C470" s="16">
        <v>44812</v>
      </c>
      <c r="D470" s="15">
        <v>23800000000</v>
      </c>
      <c r="E470" s="15" t="s">
        <v>163</v>
      </c>
      <c r="F470" s="15">
        <v>169944852</v>
      </c>
      <c r="G470" s="15" t="s">
        <v>266</v>
      </c>
      <c r="H470" s="15" t="s">
        <v>382</v>
      </c>
      <c r="I470" s="15" t="s">
        <v>391</v>
      </c>
      <c r="J470" s="15">
        <v>2022</v>
      </c>
      <c r="K470" s="15">
        <v>0.16994485200000001</v>
      </c>
    </row>
    <row r="471" spans="1:11" x14ac:dyDescent="0.2">
      <c r="A471" s="17" t="s">
        <v>390</v>
      </c>
      <c r="B471" s="17" t="s">
        <v>68</v>
      </c>
      <c r="C471" s="18">
        <v>44792</v>
      </c>
      <c r="D471" s="17">
        <v>2203580000</v>
      </c>
      <c r="E471" s="17" t="s">
        <v>59</v>
      </c>
      <c r="F471" s="17">
        <v>2203580000</v>
      </c>
      <c r="G471" s="17" t="s">
        <v>266</v>
      </c>
      <c r="H471" s="17" t="s">
        <v>382</v>
      </c>
      <c r="I471" s="17" t="s">
        <v>391</v>
      </c>
      <c r="J471" s="17">
        <v>2022</v>
      </c>
      <c r="K471" s="17">
        <v>2.2035800000000001</v>
      </c>
    </row>
    <row r="472" spans="1:11" x14ac:dyDescent="0.2">
      <c r="A472" s="15" t="s">
        <v>390</v>
      </c>
      <c r="B472" s="15" t="s">
        <v>68</v>
      </c>
      <c r="C472" s="16">
        <v>45226</v>
      </c>
      <c r="D472" s="15">
        <v>5250000000</v>
      </c>
      <c r="E472" s="15" t="s">
        <v>265</v>
      </c>
      <c r="F472" s="15">
        <v>287119350</v>
      </c>
      <c r="G472" s="15" t="s">
        <v>266</v>
      </c>
      <c r="H472" s="15" t="s">
        <v>382</v>
      </c>
      <c r="I472" s="15" t="s">
        <v>391</v>
      </c>
      <c r="J472" s="15">
        <v>2023</v>
      </c>
      <c r="K472" s="15">
        <v>0.28711935</v>
      </c>
    </row>
    <row r="473" spans="1:11" x14ac:dyDescent="0.2">
      <c r="A473" s="17" t="s">
        <v>426</v>
      </c>
      <c r="B473" s="17" t="s">
        <v>68</v>
      </c>
      <c r="C473" s="18">
        <v>45072</v>
      </c>
      <c r="D473" s="17">
        <v>6000000000</v>
      </c>
      <c r="E473" s="17" t="s">
        <v>163</v>
      </c>
      <c r="F473" s="17">
        <v>41750520</v>
      </c>
      <c r="G473" s="17" t="s">
        <v>427</v>
      </c>
      <c r="H473" s="17" t="s">
        <v>382</v>
      </c>
      <c r="I473" s="17" t="s">
        <v>428</v>
      </c>
      <c r="J473" s="17">
        <v>2023</v>
      </c>
      <c r="K473" s="17">
        <v>4.1750519999999999E-2</v>
      </c>
    </row>
    <row r="474" spans="1:11" x14ac:dyDescent="0.2">
      <c r="A474" s="15" t="s">
        <v>426</v>
      </c>
      <c r="B474" s="15" t="s">
        <v>68</v>
      </c>
      <c r="C474" s="16">
        <v>45072</v>
      </c>
      <c r="D474" s="15">
        <v>14700000000</v>
      </c>
      <c r="E474" s="15" t="s">
        <v>163</v>
      </c>
      <c r="F474" s="15">
        <v>102288774</v>
      </c>
      <c r="G474" s="15" t="s">
        <v>427</v>
      </c>
      <c r="H474" s="15" t="s">
        <v>382</v>
      </c>
      <c r="I474" s="15" t="s">
        <v>428</v>
      </c>
      <c r="J474" s="15">
        <v>2023</v>
      </c>
      <c r="K474" s="15">
        <v>0.102288774</v>
      </c>
    </row>
    <row r="475" spans="1:11" x14ac:dyDescent="0.2">
      <c r="A475" s="17" t="s">
        <v>392</v>
      </c>
      <c r="B475" s="17" t="s">
        <v>53</v>
      </c>
      <c r="C475" s="18">
        <v>44665</v>
      </c>
      <c r="D475" s="17">
        <v>10000000000</v>
      </c>
      <c r="E475" s="17" t="s">
        <v>408</v>
      </c>
      <c r="F475" s="17">
        <v>28887060</v>
      </c>
      <c r="G475" s="17" t="s">
        <v>393</v>
      </c>
      <c r="H475" s="17" t="s">
        <v>382</v>
      </c>
      <c r="I475" s="17" t="s">
        <v>394</v>
      </c>
      <c r="J475" s="17">
        <v>2022</v>
      </c>
      <c r="K475" s="17">
        <v>2.8887059999999999E-2</v>
      </c>
    </row>
    <row r="476" spans="1:11" x14ac:dyDescent="0.2">
      <c r="A476" s="15" t="s">
        <v>392</v>
      </c>
      <c r="B476" s="15" t="s">
        <v>53</v>
      </c>
      <c r="C476" s="16">
        <v>44861</v>
      </c>
      <c r="D476" s="15">
        <v>14499980000</v>
      </c>
      <c r="E476" s="15" t="s">
        <v>408</v>
      </c>
      <c r="F476" s="15">
        <v>35311488</v>
      </c>
      <c r="G476" s="15" t="s">
        <v>393</v>
      </c>
      <c r="H476" s="15" t="s">
        <v>382</v>
      </c>
      <c r="I476" s="15" t="s">
        <v>394</v>
      </c>
      <c r="J476" s="15">
        <v>2022</v>
      </c>
      <c r="K476" s="15">
        <v>3.5311488000000002E-2</v>
      </c>
    </row>
    <row r="477" spans="1:11" x14ac:dyDescent="0.2">
      <c r="A477" s="17" t="s">
        <v>392</v>
      </c>
      <c r="B477" s="17" t="s">
        <v>53</v>
      </c>
      <c r="C477" s="18">
        <v>44721</v>
      </c>
      <c r="D477" s="17">
        <v>16499980000</v>
      </c>
      <c r="E477" s="17" t="s">
        <v>408</v>
      </c>
      <c r="F477" s="17">
        <v>44711637</v>
      </c>
      <c r="G477" s="17" t="s">
        <v>393</v>
      </c>
      <c r="H477" s="17" t="s">
        <v>382</v>
      </c>
      <c r="I477" s="17" t="s">
        <v>394</v>
      </c>
      <c r="J477" s="17">
        <v>2022</v>
      </c>
      <c r="K477" s="17">
        <v>4.4711636999999999E-2</v>
      </c>
    </row>
    <row r="478" spans="1:11" x14ac:dyDescent="0.2">
      <c r="A478" s="15" t="s">
        <v>392</v>
      </c>
      <c r="B478" s="15" t="s">
        <v>53</v>
      </c>
      <c r="C478" s="16">
        <v>44833</v>
      </c>
      <c r="D478" s="15">
        <v>10000000000</v>
      </c>
      <c r="E478" s="15" t="s">
        <v>408</v>
      </c>
      <c r="F478" s="15">
        <v>23003816</v>
      </c>
      <c r="G478" s="15" t="s">
        <v>393</v>
      </c>
      <c r="H478" s="15" t="s">
        <v>382</v>
      </c>
      <c r="I478" s="15" t="s">
        <v>394</v>
      </c>
      <c r="J478" s="15">
        <v>2022</v>
      </c>
      <c r="K478" s="15">
        <v>2.3003816E-2</v>
      </c>
    </row>
    <row r="479" spans="1:11" x14ac:dyDescent="0.2">
      <c r="A479" s="17" t="s">
        <v>392</v>
      </c>
      <c r="B479" s="17" t="s">
        <v>53</v>
      </c>
      <c r="C479" s="18">
        <v>44693</v>
      </c>
      <c r="D479" s="17">
        <v>22071920000</v>
      </c>
      <c r="E479" s="17" t="s">
        <v>408</v>
      </c>
      <c r="F479" s="17">
        <v>60105846</v>
      </c>
      <c r="G479" s="17" t="s">
        <v>393</v>
      </c>
      <c r="H479" s="17" t="s">
        <v>382</v>
      </c>
      <c r="I479" s="17" t="s">
        <v>394</v>
      </c>
      <c r="J479" s="17">
        <v>2022</v>
      </c>
      <c r="K479" s="17">
        <v>6.0105845999999997E-2</v>
      </c>
    </row>
    <row r="480" spans="1:11" x14ac:dyDescent="0.2">
      <c r="A480" s="15" t="s">
        <v>506</v>
      </c>
      <c r="B480" s="15" t="s">
        <v>53</v>
      </c>
      <c r="C480" s="16">
        <v>45350</v>
      </c>
      <c r="D480" s="15">
        <v>799800000000</v>
      </c>
      <c r="E480" s="15" t="s">
        <v>163</v>
      </c>
      <c r="F480" s="15">
        <v>5308272600</v>
      </c>
      <c r="G480" s="15" t="s">
        <v>164</v>
      </c>
      <c r="H480" s="15" t="s">
        <v>382</v>
      </c>
      <c r="I480" s="15" t="s">
        <v>507</v>
      </c>
      <c r="J480" s="15">
        <v>2024</v>
      </c>
      <c r="K480" s="15">
        <v>5.3082725999999996</v>
      </c>
    </row>
    <row r="481" spans="1:11" x14ac:dyDescent="0.2">
      <c r="A481" s="17" t="s">
        <v>506</v>
      </c>
      <c r="B481" s="17" t="s">
        <v>53</v>
      </c>
      <c r="C481" s="18">
        <v>45337</v>
      </c>
      <c r="D481" s="17">
        <v>799500000000</v>
      </c>
      <c r="E481" s="17" t="s">
        <v>163</v>
      </c>
      <c r="F481" s="17">
        <v>5331066000</v>
      </c>
      <c r="G481" s="17" t="s">
        <v>164</v>
      </c>
      <c r="H481" s="17" t="s">
        <v>382</v>
      </c>
      <c r="I481" s="17" t="s">
        <v>507</v>
      </c>
      <c r="J481" s="17">
        <v>2024</v>
      </c>
      <c r="K481" s="17">
        <v>5.3310659999999999</v>
      </c>
    </row>
    <row r="482" spans="1:11" x14ac:dyDescent="0.2">
      <c r="A482" s="15" t="s">
        <v>508</v>
      </c>
      <c r="B482" s="15" t="s">
        <v>53</v>
      </c>
      <c r="C482" s="16">
        <v>45215</v>
      </c>
      <c r="D482" s="15">
        <v>1500000000</v>
      </c>
      <c r="E482" s="15" t="s">
        <v>54</v>
      </c>
      <c r="F482" s="15">
        <v>1583104500</v>
      </c>
      <c r="G482" s="15" t="s">
        <v>109</v>
      </c>
      <c r="H482" s="15" t="s">
        <v>382</v>
      </c>
      <c r="I482" s="15" t="s">
        <v>509</v>
      </c>
      <c r="J482" s="15">
        <v>2023</v>
      </c>
      <c r="K482" s="15">
        <v>1.5831044999999999</v>
      </c>
    </row>
    <row r="483" spans="1:11" x14ac:dyDescent="0.2">
      <c r="A483" s="17" t="s">
        <v>508</v>
      </c>
      <c r="B483" s="17" t="s">
        <v>53</v>
      </c>
      <c r="C483" s="18">
        <v>44265</v>
      </c>
      <c r="D483" s="17">
        <v>8500000000</v>
      </c>
      <c r="E483" s="17" t="s">
        <v>54</v>
      </c>
      <c r="F483" s="17">
        <v>10099600000</v>
      </c>
      <c r="G483" s="17" t="s">
        <v>109</v>
      </c>
      <c r="H483" s="17" t="s">
        <v>382</v>
      </c>
      <c r="I483" s="17" t="s">
        <v>509</v>
      </c>
      <c r="J483" s="17">
        <v>2021</v>
      </c>
      <c r="K483" s="17">
        <v>10.099600000000001</v>
      </c>
    </row>
    <row r="484" spans="1:11" x14ac:dyDescent="0.2">
      <c r="A484" s="15" t="s">
        <v>508</v>
      </c>
      <c r="B484" s="15" t="s">
        <v>53</v>
      </c>
      <c r="C484" s="16">
        <v>44817</v>
      </c>
      <c r="D484" s="15">
        <v>6000000000</v>
      </c>
      <c r="E484" s="15" t="s">
        <v>54</v>
      </c>
      <c r="F484" s="15">
        <v>6105000000</v>
      </c>
      <c r="G484" s="15" t="s">
        <v>109</v>
      </c>
      <c r="H484" s="15" t="s">
        <v>382</v>
      </c>
      <c r="I484" s="15" t="s">
        <v>509</v>
      </c>
      <c r="J484" s="15">
        <v>2022</v>
      </c>
      <c r="K484" s="15">
        <v>6.1050000000000004</v>
      </c>
    </row>
    <row r="485" spans="1:11" x14ac:dyDescent="0.2">
      <c r="A485" s="17" t="s">
        <v>508</v>
      </c>
      <c r="B485" s="17" t="s">
        <v>53</v>
      </c>
      <c r="C485" s="18">
        <v>44876</v>
      </c>
      <c r="D485" s="17">
        <v>2000000000</v>
      </c>
      <c r="E485" s="17" t="s">
        <v>54</v>
      </c>
      <c r="F485" s="17">
        <v>2074366000</v>
      </c>
      <c r="G485" s="17" t="s">
        <v>109</v>
      </c>
      <c r="H485" s="17" t="s">
        <v>382</v>
      </c>
      <c r="I485" s="17" t="s">
        <v>509</v>
      </c>
      <c r="J485" s="17">
        <v>2022</v>
      </c>
      <c r="K485" s="17">
        <v>2.0743659999999999</v>
      </c>
    </row>
    <row r="486" spans="1:11" x14ac:dyDescent="0.2">
      <c r="A486" s="15" t="s">
        <v>508</v>
      </c>
      <c r="B486" s="15" t="s">
        <v>53</v>
      </c>
      <c r="C486" s="16">
        <v>45001</v>
      </c>
      <c r="D486" s="15">
        <v>2400000000</v>
      </c>
      <c r="E486" s="15" t="s">
        <v>54</v>
      </c>
      <c r="F486" s="15">
        <v>2547309600</v>
      </c>
      <c r="G486" s="15" t="s">
        <v>109</v>
      </c>
      <c r="H486" s="15" t="s">
        <v>382</v>
      </c>
      <c r="I486" s="15" t="s">
        <v>509</v>
      </c>
      <c r="J486" s="15">
        <v>2023</v>
      </c>
      <c r="K486" s="15">
        <v>2.5473096000000002</v>
      </c>
    </row>
    <row r="487" spans="1:11" x14ac:dyDescent="0.2">
      <c r="A487" s="17" t="s">
        <v>508</v>
      </c>
      <c r="B487" s="17" t="s">
        <v>53</v>
      </c>
      <c r="C487" s="18">
        <v>44496</v>
      </c>
      <c r="D487" s="17">
        <v>5000000000</v>
      </c>
      <c r="E487" s="17" t="s">
        <v>54</v>
      </c>
      <c r="F487" s="17">
        <v>5808500000</v>
      </c>
      <c r="G487" s="17" t="s">
        <v>109</v>
      </c>
      <c r="H487" s="17" t="s">
        <v>382</v>
      </c>
      <c r="I487" s="17" t="s">
        <v>509</v>
      </c>
      <c r="J487" s="17">
        <v>2021</v>
      </c>
      <c r="K487" s="17">
        <v>5.8085000000000004</v>
      </c>
    </row>
    <row r="488" spans="1:11" x14ac:dyDescent="0.2">
      <c r="A488" s="15" t="s">
        <v>508</v>
      </c>
      <c r="B488" s="15" t="s">
        <v>53</v>
      </c>
      <c r="C488" s="16">
        <v>45029</v>
      </c>
      <c r="D488" s="15">
        <v>10000000000</v>
      </c>
      <c r="E488" s="15" t="s">
        <v>54</v>
      </c>
      <c r="F488" s="15">
        <v>10901200000</v>
      </c>
      <c r="G488" s="15" t="s">
        <v>109</v>
      </c>
      <c r="H488" s="15" t="s">
        <v>382</v>
      </c>
      <c r="I488" s="15" t="s">
        <v>509</v>
      </c>
      <c r="J488" s="15">
        <v>2023</v>
      </c>
      <c r="K488" s="15">
        <v>10.901199999999999</v>
      </c>
    </row>
    <row r="489" spans="1:11" x14ac:dyDescent="0.2">
      <c r="A489" s="17" t="s">
        <v>508</v>
      </c>
      <c r="B489" s="17" t="s">
        <v>53</v>
      </c>
      <c r="C489" s="18">
        <v>45366</v>
      </c>
      <c r="D489" s="17">
        <v>1250000000</v>
      </c>
      <c r="E489" s="17" t="s">
        <v>54</v>
      </c>
      <c r="F489" s="17">
        <v>1362322500</v>
      </c>
      <c r="G489" s="17" t="s">
        <v>109</v>
      </c>
      <c r="H489" s="17" t="s">
        <v>382</v>
      </c>
      <c r="I489" s="17" t="s">
        <v>509</v>
      </c>
      <c r="J489" s="17">
        <v>2024</v>
      </c>
      <c r="K489" s="17">
        <v>1.3623225000000001</v>
      </c>
    </row>
    <row r="490" spans="1:11" x14ac:dyDescent="0.2">
      <c r="A490" s="15" t="s">
        <v>510</v>
      </c>
      <c r="B490" s="15" t="s">
        <v>53</v>
      </c>
      <c r="C490" s="16">
        <v>44953</v>
      </c>
      <c r="D490" s="15">
        <v>40000000000</v>
      </c>
      <c r="E490" s="15" t="s">
        <v>511</v>
      </c>
      <c r="F490" s="15">
        <v>490720000</v>
      </c>
      <c r="G490" s="15" t="s">
        <v>512</v>
      </c>
      <c r="H490" s="15" t="s">
        <v>382</v>
      </c>
      <c r="I490" s="15" t="s">
        <v>513</v>
      </c>
      <c r="J490" s="15">
        <v>2023</v>
      </c>
      <c r="K490" s="15">
        <v>0.49071999999999999</v>
      </c>
    </row>
    <row r="491" spans="1:11" x14ac:dyDescent="0.2">
      <c r="A491" s="17" t="s">
        <v>510</v>
      </c>
      <c r="B491" s="17" t="s">
        <v>53</v>
      </c>
      <c r="C491" s="18">
        <v>44967</v>
      </c>
      <c r="D491" s="17">
        <v>40000000000</v>
      </c>
      <c r="E491" s="17" t="s">
        <v>511</v>
      </c>
      <c r="F491" s="17">
        <v>484360000</v>
      </c>
      <c r="G491" s="17" t="s">
        <v>512</v>
      </c>
      <c r="H491" s="17" t="s">
        <v>382</v>
      </c>
      <c r="I491" s="17" t="s">
        <v>513</v>
      </c>
      <c r="J491" s="17">
        <v>2023</v>
      </c>
      <c r="K491" s="17">
        <v>0.48436000000000001</v>
      </c>
    </row>
    <row r="492" spans="1:11" x14ac:dyDescent="0.2">
      <c r="A492" s="15" t="s">
        <v>510</v>
      </c>
      <c r="B492" s="15" t="s">
        <v>53</v>
      </c>
      <c r="C492" s="16">
        <v>44967</v>
      </c>
      <c r="D492" s="15">
        <v>40000000000</v>
      </c>
      <c r="E492" s="15" t="s">
        <v>511</v>
      </c>
      <c r="F492" s="15">
        <v>484360000</v>
      </c>
      <c r="G492" s="15" t="s">
        <v>512</v>
      </c>
      <c r="H492" s="15" t="s">
        <v>382</v>
      </c>
      <c r="I492" s="15" t="s">
        <v>513</v>
      </c>
      <c r="J492" s="15">
        <v>2023</v>
      </c>
      <c r="K492" s="15">
        <v>0.48436000000000001</v>
      </c>
    </row>
    <row r="493" spans="1:11" x14ac:dyDescent="0.2">
      <c r="A493" s="17" t="s">
        <v>510</v>
      </c>
      <c r="B493" s="17" t="s">
        <v>53</v>
      </c>
      <c r="C493" s="18">
        <v>44953</v>
      </c>
      <c r="D493" s="17">
        <v>40000000000</v>
      </c>
      <c r="E493" s="17" t="s">
        <v>511</v>
      </c>
      <c r="F493" s="17">
        <v>490720000</v>
      </c>
      <c r="G493" s="17" t="s">
        <v>512</v>
      </c>
      <c r="H493" s="17" t="s">
        <v>382</v>
      </c>
      <c r="I493" s="17" t="s">
        <v>513</v>
      </c>
      <c r="J493" s="17">
        <v>2023</v>
      </c>
      <c r="K493" s="17">
        <v>0.49071999999999999</v>
      </c>
    </row>
    <row r="494" spans="1:11" x14ac:dyDescent="0.2">
      <c r="A494" s="15" t="s">
        <v>510</v>
      </c>
      <c r="B494" s="15" t="s">
        <v>53</v>
      </c>
      <c r="C494" s="16">
        <v>45314</v>
      </c>
      <c r="D494" s="15">
        <v>50000000000</v>
      </c>
      <c r="E494" s="15" t="s">
        <v>511</v>
      </c>
      <c r="F494" s="15">
        <v>600800000</v>
      </c>
      <c r="G494" s="15" t="s">
        <v>512</v>
      </c>
      <c r="H494" s="15" t="s">
        <v>382</v>
      </c>
      <c r="I494" s="15" t="s">
        <v>513</v>
      </c>
      <c r="J494" s="15">
        <v>2024</v>
      </c>
      <c r="K494" s="15">
        <v>0.6008</v>
      </c>
    </row>
    <row r="495" spans="1:11" x14ac:dyDescent="0.2">
      <c r="A495" s="17" t="s">
        <v>510</v>
      </c>
      <c r="B495" s="17" t="s">
        <v>53</v>
      </c>
      <c r="C495" s="18">
        <v>45271</v>
      </c>
      <c r="D495" s="17">
        <v>50000000000</v>
      </c>
      <c r="E495" s="17" t="s">
        <v>511</v>
      </c>
      <c r="F495" s="17">
        <v>599950000</v>
      </c>
      <c r="G495" s="17" t="s">
        <v>512</v>
      </c>
      <c r="H495" s="17" t="s">
        <v>382</v>
      </c>
      <c r="I495" s="17" t="s">
        <v>513</v>
      </c>
      <c r="J495" s="17">
        <v>2023</v>
      </c>
      <c r="K495" s="17">
        <v>0.59994999999999998</v>
      </c>
    </row>
    <row r="496" spans="1:11" x14ac:dyDescent="0.2">
      <c r="A496" s="15" t="s">
        <v>510</v>
      </c>
      <c r="B496" s="15" t="s">
        <v>53</v>
      </c>
      <c r="C496" s="16">
        <v>45327</v>
      </c>
      <c r="D496" s="15">
        <v>50000000000</v>
      </c>
      <c r="E496" s="15" t="s">
        <v>511</v>
      </c>
      <c r="F496" s="15">
        <v>601550000</v>
      </c>
      <c r="G496" s="15" t="s">
        <v>512</v>
      </c>
      <c r="H496" s="15" t="s">
        <v>382</v>
      </c>
      <c r="I496" s="15" t="s">
        <v>513</v>
      </c>
      <c r="J496" s="15">
        <v>2024</v>
      </c>
      <c r="K496" s="15">
        <v>0.60155000000000003</v>
      </c>
    </row>
    <row r="497" spans="1:11" x14ac:dyDescent="0.2">
      <c r="A497" s="17" t="s">
        <v>510</v>
      </c>
      <c r="B497" s="17" t="s">
        <v>53</v>
      </c>
      <c r="C497" s="18">
        <v>45243</v>
      </c>
      <c r="D497" s="17">
        <v>50000000000</v>
      </c>
      <c r="E497" s="17" t="s">
        <v>511</v>
      </c>
      <c r="F497" s="17">
        <v>599400000</v>
      </c>
      <c r="G497" s="17" t="s">
        <v>512</v>
      </c>
      <c r="H497" s="17" t="s">
        <v>382</v>
      </c>
      <c r="I497" s="17" t="s">
        <v>513</v>
      </c>
      <c r="J497" s="17">
        <v>2023</v>
      </c>
      <c r="K497" s="17">
        <v>0.59940000000000004</v>
      </c>
    </row>
    <row r="498" spans="1:11" x14ac:dyDescent="0.2">
      <c r="A498" s="15" t="s">
        <v>514</v>
      </c>
      <c r="B498" s="15" t="s">
        <v>53</v>
      </c>
      <c r="C498" s="16">
        <v>45376</v>
      </c>
      <c r="D498" s="15">
        <v>517150000</v>
      </c>
      <c r="E498" s="15" t="s">
        <v>54</v>
      </c>
      <c r="F498" s="15">
        <v>560486653</v>
      </c>
      <c r="G498" s="15" t="s">
        <v>515</v>
      </c>
      <c r="H498" s="15" t="s">
        <v>382</v>
      </c>
      <c r="I498" s="15" t="s">
        <v>516</v>
      </c>
      <c r="J498" s="15">
        <v>2024</v>
      </c>
      <c r="K498" s="15">
        <v>0.560486653</v>
      </c>
    </row>
    <row r="499" spans="1:11" x14ac:dyDescent="0.2">
      <c r="A499" s="17" t="s">
        <v>514</v>
      </c>
      <c r="B499" s="17" t="s">
        <v>53</v>
      </c>
      <c r="C499" s="18">
        <v>44938</v>
      </c>
      <c r="D499" s="17">
        <v>3500000000</v>
      </c>
      <c r="E499" s="17" t="s">
        <v>54</v>
      </c>
      <c r="F499" s="17">
        <v>3800919500</v>
      </c>
      <c r="G499" s="17" t="s">
        <v>515</v>
      </c>
      <c r="H499" s="17" t="s">
        <v>382</v>
      </c>
      <c r="I499" s="17" t="s">
        <v>516</v>
      </c>
      <c r="J499" s="17">
        <v>2023</v>
      </c>
      <c r="K499" s="17">
        <v>3.8009195</v>
      </c>
    </row>
    <row r="500" spans="1:11" x14ac:dyDescent="0.2">
      <c r="A500" s="15" t="s">
        <v>514</v>
      </c>
      <c r="B500" s="15" t="s">
        <v>53</v>
      </c>
      <c r="C500" s="16">
        <v>44515</v>
      </c>
      <c r="D500" s="15">
        <v>747500000</v>
      </c>
      <c r="E500" s="15" t="s">
        <v>54</v>
      </c>
      <c r="F500" s="15">
        <v>855439000</v>
      </c>
      <c r="G500" s="15" t="s">
        <v>515</v>
      </c>
      <c r="H500" s="15" t="s">
        <v>382</v>
      </c>
      <c r="I500" s="15" t="s">
        <v>516</v>
      </c>
      <c r="J500" s="15">
        <v>2021</v>
      </c>
      <c r="K500" s="15">
        <v>0.85543899999999995</v>
      </c>
    </row>
    <row r="501" spans="1:11" x14ac:dyDescent="0.2">
      <c r="A501" s="17" t="s">
        <v>514</v>
      </c>
      <c r="B501" s="17" t="s">
        <v>53</v>
      </c>
      <c r="C501" s="18">
        <v>44088</v>
      </c>
      <c r="D501" s="17">
        <v>1100590000</v>
      </c>
      <c r="E501" s="17" t="s">
        <v>54</v>
      </c>
      <c r="F501" s="17">
        <v>1307060684</v>
      </c>
      <c r="G501" s="17" t="s">
        <v>515</v>
      </c>
      <c r="H501" s="17" t="s">
        <v>382</v>
      </c>
      <c r="I501" s="17" t="s">
        <v>516</v>
      </c>
      <c r="J501" s="17">
        <v>2020</v>
      </c>
      <c r="K501" s="17">
        <v>1.3070606840000001</v>
      </c>
    </row>
    <row r="502" spans="1:11" x14ac:dyDescent="0.2">
      <c r="A502" s="15" t="s">
        <v>514</v>
      </c>
      <c r="B502" s="15" t="s">
        <v>53</v>
      </c>
      <c r="C502" s="16">
        <v>43755</v>
      </c>
      <c r="D502" s="15">
        <v>2000000000</v>
      </c>
      <c r="E502" s="15" t="s">
        <v>54</v>
      </c>
      <c r="F502" s="15">
        <v>2209740000</v>
      </c>
      <c r="G502" s="15" t="s">
        <v>515</v>
      </c>
      <c r="H502" s="15" t="s">
        <v>382</v>
      </c>
      <c r="I502" s="15" t="s">
        <v>516</v>
      </c>
      <c r="J502" s="15">
        <v>2019</v>
      </c>
      <c r="K502" s="15">
        <v>2.20974</v>
      </c>
    </row>
    <row r="503" spans="1:11" x14ac:dyDescent="0.2">
      <c r="A503" s="17" t="s">
        <v>514</v>
      </c>
      <c r="B503" s="17" t="s">
        <v>53</v>
      </c>
      <c r="C503" s="18">
        <v>43390</v>
      </c>
      <c r="D503" s="17">
        <v>3000000000</v>
      </c>
      <c r="E503" s="17" t="s">
        <v>54</v>
      </c>
      <c r="F503" s="17">
        <v>3459000000</v>
      </c>
      <c r="G503" s="17" t="s">
        <v>515</v>
      </c>
      <c r="H503" s="17" t="s">
        <v>382</v>
      </c>
      <c r="I503" s="17" t="s">
        <v>516</v>
      </c>
      <c r="J503" s="17">
        <v>2018</v>
      </c>
      <c r="K503" s="17">
        <v>3.4590000000000001</v>
      </c>
    </row>
    <row r="504" spans="1:11" x14ac:dyDescent="0.2">
      <c r="A504" s="15" t="s">
        <v>426</v>
      </c>
      <c r="B504" s="15" t="s">
        <v>53</v>
      </c>
      <c r="C504" s="16">
        <v>45113</v>
      </c>
      <c r="D504" s="15">
        <v>800000000000</v>
      </c>
      <c r="E504" s="15" t="s">
        <v>468</v>
      </c>
      <c r="F504" s="15">
        <v>52669002</v>
      </c>
      <c r="G504" s="15" t="s">
        <v>427</v>
      </c>
      <c r="H504" s="15" t="s">
        <v>382</v>
      </c>
      <c r="I504" s="15" t="s">
        <v>428</v>
      </c>
      <c r="J504" s="15">
        <v>2023</v>
      </c>
      <c r="K504" s="15">
        <v>5.2669001999999999E-2</v>
      </c>
    </row>
    <row r="505" spans="1:11" x14ac:dyDescent="0.2">
      <c r="A505" s="17" t="s">
        <v>426</v>
      </c>
      <c r="B505" s="17" t="s">
        <v>53</v>
      </c>
      <c r="C505" s="18">
        <v>45085</v>
      </c>
      <c r="D505" s="17">
        <v>2400000000000</v>
      </c>
      <c r="E505" s="17" t="s">
        <v>468</v>
      </c>
      <c r="F505" s="17">
        <v>161708722</v>
      </c>
      <c r="G505" s="17" t="s">
        <v>427</v>
      </c>
      <c r="H505" s="17" t="s">
        <v>382</v>
      </c>
      <c r="I505" s="17" t="s">
        <v>428</v>
      </c>
      <c r="J505" s="17">
        <v>2023</v>
      </c>
      <c r="K505" s="17">
        <v>0.161708722</v>
      </c>
    </row>
    <row r="506" spans="1:11" x14ac:dyDescent="0.2">
      <c r="A506" s="15" t="s">
        <v>426</v>
      </c>
      <c r="B506" s="15" t="s">
        <v>53</v>
      </c>
      <c r="C506" s="16">
        <v>45057</v>
      </c>
      <c r="D506" s="15">
        <v>1050000000000</v>
      </c>
      <c r="E506" s="15" t="s">
        <v>468</v>
      </c>
      <c r="F506" s="15">
        <v>71061181</v>
      </c>
      <c r="G506" s="15" t="s">
        <v>427</v>
      </c>
      <c r="H506" s="15" t="s">
        <v>382</v>
      </c>
      <c r="I506" s="15" t="s">
        <v>428</v>
      </c>
      <c r="J506" s="15">
        <v>2023</v>
      </c>
      <c r="K506" s="15">
        <v>7.1061181000000001E-2</v>
      </c>
    </row>
    <row r="507" spans="1:11" x14ac:dyDescent="0.2">
      <c r="A507" s="17" t="s">
        <v>426</v>
      </c>
      <c r="B507" s="17" t="s">
        <v>53</v>
      </c>
      <c r="C507" s="18">
        <v>45169</v>
      </c>
      <c r="D507" s="17">
        <v>800000000000</v>
      </c>
      <c r="E507" s="17" t="s">
        <v>468</v>
      </c>
      <c r="F507" s="17">
        <v>52500328</v>
      </c>
      <c r="G507" s="17" t="s">
        <v>427</v>
      </c>
      <c r="H507" s="17" t="s">
        <v>382</v>
      </c>
      <c r="I507" s="17" t="s">
        <v>428</v>
      </c>
      <c r="J507" s="17">
        <v>2023</v>
      </c>
      <c r="K507" s="17">
        <v>5.2500327999999999E-2</v>
      </c>
    </row>
    <row r="508" spans="1:11" x14ac:dyDescent="0.2">
      <c r="A508" s="15" t="s">
        <v>426</v>
      </c>
      <c r="B508" s="15" t="s">
        <v>53</v>
      </c>
      <c r="C508" s="16">
        <v>45212</v>
      </c>
      <c r="D508" s="15">
        <v>1000000000000</v>
      </c>
      <c r="E508" s="15" t="s">
        <v>468</v>
      </c>
      <c r="F508" s="15">
        <v>63682099</v>
      </c>
      <c r="G508" s="15" t="s">
        <v>427</v>
      </c>
      <c r="H508" s="15" t="s">
        <v>382</v>
      </c>
      <c r="I508" s="15" t="s">
        <v>428</v>
      </c>
      <c r="J508" s="15">
        <v>2023</v>
      </c>
      <c r="K508" s="15">
        <v>6.3682099000000006E-2</v>
      </c>
    </row>
    <row r="509" spans="1:11" x14ac:dyDescent="0.2">
      <c r="A509" s="17" t="s">
        <v>426</v>
      </c>
      <c r="B509" s="17" t="s">
        <v>53</v>
      </c>
      <c r="C509" s="18">
        <v>45253</v>
      </c>
      <c r="D509" s="17">
        <v>850000000000</v>
      </c>
      <c r="E509" s="17" t="s">
        <v>468</v>
      </c>
      <c r="F509" s="17">
        <v>54366945</v>
      </c>
      <c r="G509" s="17" t="s">
        <v>427</v>
      </c>
      <c r="H509" s="17" t="s">
        <v>382</v>
      </c>
      <c r="I509" s="17" t="s">
        <v>428</v>
      </c>
      <c r="J509" s="17">
        <v>2023</v>
      </c>
      <c r="K509" s="17">
        <v>5.4366945E-2</v>
      </c>
    </row>
    <row r="510" spans="1:11" x14ac:dyDescent="0.2">
      <c r="A510" s="15" t="s">
        <v>426</v>
      </c>
      <c r="B510" s="15" t="s">
        <v>53</v>
      </c>
      <c r="C510" s="16">
        <v>45267</v>
      </c>
      <c r="D510" s="15">
        <v>590000000000</v>
      </c>
      <c r="E510" s="15" t="s">
        <v>468</v>
      </c>
      <c r="F510" s="15">
        <v>38047334</v>
      </c>
      <c r="G510" s="15" t="s">
        <v>427</v>
      </c>
      <c r="H510" s="15" t="s">
        <v>382</v>
      </c>
      <c r="I510" s="15" t="s">
        <v>428</v>
      </c>
      <c r="J510" s="15">
        <v>2023</v>
      </c>
      <c r="K510" s="15">
        <v>3.8047334000000002E-2</v>
      </c>
    </row>
    <row r="511" spans="1:11" x14ac:dyDescent="0.2">
      <c r="A511" s="17" t="s">
        <v>426</v>
      </c>
      <c r="B511" s="17" t="s">
        <v>53</v>
      </c>
      <c r="C511" s="18">
        <v>45281</v>
      </c>
      <c r="D511" s="17">
        <v>350000000000</v>
      </c>
      <c r="E511" s="17" t="s">
        <v>468</v>
      </c>
      <c r="F511" s="17">
        <v>22659588</v>
      </c>
      <c r="G511" s="17" t="s">
        <v>427</v>
      </c>
      <c r="H511" s="17" t="s">
        <v>382</v>
      </c>
      <c r="I511" s="17" t="s">
        <v>428</v>
      </c>
      <c r="J511" s="17">
        <v>2023</v>
      </c>
      <c r="K511" s="17">
        <v>2.2659588000000001E-2</v>
      </c>
    </row>
    <row r="512" spans="1:11" x14ac:dyDescent="0.2">
      <c r="A512" s="15" t="s">
        <v>426</v>
      </c>
      <c r="B512" s="15" t="s">
        <v>53</v>
      </c>
      <c r="C512" s="16">
        <v>45316</v>
      </c>
      <c r="D512" s="15">
        <v>2200000000000</v>
      </c>
      <c r="E512" s="15" t="s">
        <v>468</v>
      </c>
      <c r="F512" s="15">
        <v>139108442</v>
      </c>
      <c r="G512" s="15" t="s">
        <v>427</v>
      </c>
      <c r="H512" s="15" t="s">
        <v>382</v>
      </c>
      <c r="I512" s="15" t="s">
        <v>428</v>
      </c>
      <c r="J512" s="15">
        <v>2024</v>
      </c>
      <c r="K512" s="15">
        <v>0.139108442</v>
      </c>
    </row>
    <row r="513" spans="1:11" x14ac:dyDescent="0.2">
      <c r="A513" s="17" t="s">
        <v>426</v>
      </c>
      <c r="B513" s="17" t="s">
        <v>53</v>
      </c>
      <c r="C513" s="18">
        <v>45344</v>
      </c>
      <c r="D513" s="17">
        <v>750000000000</v>
      </c>
      <c r="E513" s="17" t="s">
        <v>468</v>
      </c>
      <c r="F513" s="17">
        <v>47910465</v>
      </c>
      <c r="G513" s="17" t="s">
        <v>427</v>
      </c>
      <c r="H513" s="17" t="s">
        <v>382</v>
      </c>
      <c r="I513" s="17" t="s">
        <v>428</v>
      </c>
      <c r="J513" s="17">
        <v>2024</v>
      </c>
      <c r="K513" s="17">
        <v>4.7910464999999999E-2</v>
      </c>
    </row>
    <row r="514" spans="1:11" x14ac:dyDescent="0.2">
      <c r="A514" s="15" t="s">
        <v>426</v>
      </c>
      <c r="B514" s="15" t="s">
        <v>53</v>
      </c>
      <c r="C514" s="16">
        <v>45372</v>
      </c>
      <c r="D514" s="15">
        <v>1000000000000</v>
      </c>
      <c r="E514" s="15" t="s">
        <v>468</v>
      </c>
      <c r="F514" s="15">
        <v>63585928</v>
      </c>
      <c r="G514" s="15" t="s">
        <v>427</v>
      </c>
      <c r="H514" s="15" t="s">
        <v>382</v>
      </c>
      <c r="I514" s="15" t="s">
        <v>428</v>
      </c>
      <c r="J514" s="15">
        <v>2024</v>
      </c>
      <c r="K514" s="15">
        <v>6.3585928E-2</v>
      </c>
    </row>
    <row r="515" spans="1:11" x14ac:dyDescent="0.2">
      <c r="A515" s="17" t="s">
        <v>426</v>
      </c>
      <c r="B515" s="17" t="s">
        <v>53</v>
      </c>
      <c r="C515" s="18">
        <v>44980</v>
      </c>
      <c r="D515" s="17">
        <v>1250000000000</v>
      </c>
      <c r="E515" s="17" t="s">
        <v>468</v>
      </c>
      <c r="F515" s="17">
        <v>82142270</v>
      </c>
      <c r="G515" s="17" t="s">
        <v>427</v>
      </c>
      <c r="H515" s="17" t="s">
        <v>382</v>
      </c>
      <c r="I515" s="17" t="s">
        <v>428</v>
      </c>
      <c r="J515" s="17">
        <v>2023</v>
      </c>
      <c r="K515" s="17">
        <v>8.2142270000000003E-2</v>
      </c>
    </row>
    <row r="516" spans="1:11" x14ac:dyDescent="0.2">
      <c r="A516" s="15" t="s">
        <v>426</v>
      </c>
      <c r="B516" s="15" t="s">
        <v>53</v>
      </c>
      <c r="C516" s="16">
        <v>43797</v>
      </c>
      <c r="D516" s="15">
        <v>1460000000000</v>
      </c>
      <c r="E516" s="15" t="s">
        <v>468</v>
      </c>
      <c r="F516" s="15">
        <v>103531717</v>
      </c>
      <c r="G516" s="15" t="s">
        <v>427</v>
      </c>
      <c r="H516" s="15" t="s">
        <v>382</v>
      </c>
      <c r="I516" s="15" t="s">
        <v>428</v>
      </c>
      <c r="J516" s="15">
        <v>2019</v>
      </c>
      <c r="K516" s="15">
        <v>0.103531717</v>
      </c>
    </row>
    <row r="517" spans="1:11" x14ac:dyDescent="0.2">
      <c r="A517" s="17" t="s">
        <v>426</v>
      </c>
      <c r="B517" s="17" t="s">
        <v>53</v>
      </c>
      <c r="C517" s="18">
        <v>44356</v>
      </c>
      <c r="D517" s="17">
        <v>750000000</v>
      </c>
      <c r="E517" s="17" t="s">
        <v>59</v>
      </c>
      <c r="F517" s="17">
        <v>750000000</v>
      </c>
      <c r="G517" s="17" t="s">
        <v>427</v>
      </c>
      <c r="H517" s="17" t="s">
        <v>382</v>
      </c>
      <c r="I517" s="17" t="s">
        <v>428</v>
      </c>
      <c r="J517" s="17">
        <v>2021</v>
      </c>
      <c r="K517" s="17">
        <v>0.75</v>
      </c>
    </row>
    <row r="518" spans="1:11" x14ac:dyDescent="0.2">
      <c r="A518" s="15" t="s">
        <v>426</v>
      </c>
      <c r="B518" s="15" t="s">
        <v>53</v>
      </c>
      <c r="C518" s="16">
        <v>44167</v>
      </c>
      <c r="D518" s="15">
        <v>5421257000000</v>
      </c>
      <c r="E518" s="15" t="s">
        <v>468</v>
      </c>
      <c r="F518" s="15">
        <v>384679223</v>
      </c>
      <c r="G518" s="15" t="s">
        <v>427</v>
      </c>
      <c r="H518" s="15" t="s">
        <v>382</v>
      </c>
      <c r="I518" s="15" t="s">
        <v>428</v>
      </c>
      <c r="J518" s="15">
        <v>2020</v>
      </c>
      <c r="K518" s="15">
        <v>0.38467922300000001</v>
      </c>
    </row>
    <row r="519" spans="1:11" x14ac:dyDescent="0.2">
      <c r="A519" s="17" t="s">
        <v>426</v>
      </c>
      <c r="B519" s="17" t="s">
        <v>53</v>
      </c>
      <c r="C519" s="18">
        <v>44005</v>
      </c>
      <c r="D519" s="17">
        <v>750000000</v>
      </c>
      <c r="E519" s="17" t="s">
        <v>59</v>
      </c>
      <c r="F519" s="17">
        <v>750000000</v>
      </c>
      <c r="G519" s="17" t="s">
        <v>427</v>
      </c>
      <c r="H519" s="17" t="s">
        <v>382</v>
      </c>
      <c r="I519" s="17" t="s">
        <v>428</v>
      </c>
      <c r="J519" s="17">
        <v>2020</v>
      </c>
      <c r="K519" s="17">
        <v>0.75</v>
      </c>
    </row>
    <row r="520" spans="1:11" x14ac:dyDescent="0.2">
      <c r="A520" s="15" t="s">
        <v>426</v>
      </c>
      <c r="B520" s="15" t="s">
        <v>53</v>
      </c>
      <c r="C520" s="16">
        <v>43516</v>
      </c>
      <c r="D520" s="15">
        <v>750000000</v>
      </c>
      <c r="E520" s="15" t="s">
        <v>59</v>
      </c>
      <c r="F520" s="15">
        <v>750000000</v>
      </c>
      <c r="G520" s="15" t="s">
        <v>427</v>
      </c>
      <c r="H520" s="15" t="s">
        <v>382</v>
      </c>
      <c r="I520" s="15" t="s">
        <v>428</v>
      </c>
      <c r="J520" s="15">
        <v>2019</v>
      </c>
      <c r="K520" s="15">
        <v>0.75</v>
      </c>
    </row>
    <row r="521" spans="1:11" x14ac:dyDescent="0.2">
      <c r="A521" s="17" t="s">
        <v>426</v>
      </c>
      <c r="B521" s="17" t="s">
        <v>53</v>
      </c>
      <c r="C521" s="18">
        <v>43160</v>
      </c>
      <c r="D521" s="17">
        <v>1250000000</v>
      </c>
      <c r="E521" s="17" t="s">
        <v>59</v>
      </c>
      <c r="F521" s="17">
        <v>1250000000</v>
      </c>
      <c r="G521" s="17" t="s">
        <v>427</v>
      </c>
      <c r="H521" s="17" t="s">
        <v>382</v>
      </c>
      <c r="I521" s="17" t="s">
        <v>428</v>
      </c>
      <c r="J521" s="17">
        <v>2018</v>
      </c>
      <c r="K521" s="17">
        <v>1.25</v>
      </c>
    </row>
    <row r="522" spans="1:11" x14ac:dyDescent="0.2">
      <c r="A522" s="15" t="s">
        <v>426</v>
      </c>
      <c r="B522" s="15" t="s">
        <v>53</v>
      </c>
      <c r="C522" s="16">
        <v>45012</v>
      </c>
      <c r="D522" s="15">
        <v>500000000000</v>
      </c>
      <c r="E522" s="15" t="s">
        <v>468</v>
      </c>
      <c r="F522" s="15">
        <v>33087384</v>
      </c>
      <c r="G522" s="15" t="s">
        <v>427</v>
      </c>
      <c r="H522" s="15" t="s">
        <v>382</v>
      </c>
      <c r="I522" s="15" t="s">
        <v>428</v>
      </c>
      <c r="J522" s="15">
        <v>2023</v>
      </c>
      <c r="K522" s="15">
        <v>3.3087383999999997E-2</v>
      </c>
    </row>
    <row r="523" spans="1:11" x14ac:dyDescent="0.2">
      <c r="A523" s="17" t="s">
        <v>426</v>
      </c>
      <c r="B523" s="17" t="s">
        <v>53</v>
      </c>
      <c r="C523" s="18">
        <v>44854</v>
      </c>
      <c r="D523" s="17">
        <v>1260000000000</v>
      </c>
      <c r="E523" s="17" t="s">
        <v>468</v>
      </c>
      <c r="F523" s="17">
        <v>80966196</v>
      </c>
      <c r="G523" s="17" t="s">
        <v>427</v>
      </c>
      <c r="H523" s="17" t="s">
        <v>382</v>
      </c>
      <c r="I523" s="17" t="s">
        <v>428</v>
      </c>
      <c r="J523" s="17">
        <v>2022</v>
      </c>
      <c r="K523" s="17">
        <v>8.0966196000000004E-2</v>
      </c>
    </row>
    <row r="524" spans="1:11" x14ac:dyDescent="0.2">
      <c r="A524" s="15" t="s">
        <v>426</v>
      </c>
      <c r="B524" s="15" t="s">
        <v>53</v>
      </c>
      <c r="C524" s="16">
        <v>44826</v>
      </c>
      <c r="D524" s="15">
        <v>4400000000000</v>
      </c>
      <c r="E524" s="15" t="s">
        <v>468</v>
      </c>
      <c r="F524" s="15">
        <v>292813101</v>
      </c>
      <c r="G524" s="15" t="s">
        <v>427</v>
      </c>
      <c r="H524" s="15" t="s">
        <v>382</v>
      </c>
      <c r="I524" s="15" t="s">
        <v>428</v>
      </c>
      <c r="J524" s="15">
        <v>2022</v>
      </c>
      <c r="K524" s="15">
        <v>0.29281310100000002</v>
      </c>
    </row>
    <row r="525" spans="1:11" x14ac:dyDescent="0.2">
      <c r="A525" s="17" t="s">
        <v>392</v>
      </c>
      <c r="B525" s="17" t="s">
        <v>53</v>
      </c>
      <c r="C525" s="18">
        <v>44609</v>
      </c>
      <c r="D525" s="17">
        <v>27695690000</v>
      </c>
      <c r="E525" s="17" t="s">
        <v>408</v>
      </c>
      <c r="F525" s="17">
        <v>88435182</v>
      </c>
      <c r="G525" s="17" t="s">
        <v>393</v>
      </c>
      <c r="H525" s="17" t="s">
        <v>382</v>
      </c>
      <c r="I525" s="17" t="s">
        <v>394</v>
      </c>
      <c r="J525" s="17">
        <v>2022</v>
      </c>
      <c r="K525" s="17">
        <v>8.8435182000000001E-2</v>
      </c>
    </row>
    <row r="526" spans="1:11" x14ac:dyDescent="0.2">
      <c r="A526" s="15" t="s">
        <v>392</v>
      </c>
      <c r="B526" s="15" t="s">
        <v>53</v>
      </c>
      <c r="C526" s="16">
        <v>44637</v>
      </c>
      <c r="D526" s="15">
        <v>24688000000</v>
      </c>
      <c r="E526" s="15" t="s">
        <v>408</v>
      </c>
      <c r="F526" s="15">
        <v>73330759</v>
      </c>
      <c r="G526" s="15" t="s">
        <v>393</v>
      </c>
      <c r="H526" s="15" t="s">
        <v>382</v>
      </c>
      <c r="I526" s="15" t="s">
        <v>394</v>
      </c>
      <c r="J526" s="15">
        <v>2022</v>
      </c>
      <c r="K526" s="15">
        <v>7.3330758999999995E-2</v>
      </c>
    </row>
    <row r="527" spans="1:11" x14ac:dyDescent="0.2">
      <c r="A527" s="17" t="s">
        <v>392</v>
      </c>
      <c r="B527" s="17" t="s">
        <v>53</v>
      </c>
      <c r="C527" s="18">
        <v>44749</v>
      </c>
      <c r="D527" s="17">
        <v>12158660000</v>
      </c>
      <c r="E527" s="17" t="s">
        <v>408</v>
      </c>
      <c r="F527" s="17">
        <v>30688458</v>
      </c>
      <c r="G527" s="17" t="s">
        <v>393</v>
      </c>
      <c r="H527" s="17" t="s">
        <v>382</v>
      </c>
      <c r="I527" s="17" t="s">
        <v>394</v>
      </c>
      <c r="J527" s="17">
        <v>2022</v>
      </c>
      <c r="K527" s="17">
        <v>3.0688457999999998E-2</v>
      </c>
    </row>
    <row r="528" spans="1:11" x14ac:dyDescent="0.2">
      <c r="A528" s="15" t="s">
        <v>392</v>
      </c>
      <c r="B528" s="15" t="s">
        <v>53</v>
      </c>
      <c r="C528" s="16">
        <v>44617</v>
      </c>
      <c r="D528" s="15">
        <v>4700000000</v>
      </c>
      <c r="E528" s="15" t="s">
        <v>163</v>
      </c>
      <c r="F528" s="15">
        <v>40899673</v>
      </c>
      <c r="G528" s="15" t="s">
        <v>393</v>
      </c>
      <c r="H528" s="15" t="s">
        <v>382</v>
      </c>
      <c r="I528" s="15" t="s">
        <v>394</v>
      </c>
      <c r="J528" s="15">
        <v>2022</v>
      </c>
      <c r="K528" s="15">
        <v>4.0899672999999998E-2</v>
      </c>
    </row>
    <row r="529" spans="1:11" x14ac:dyDescent="0.2">
      <c r="A529" s="17" t="s">
        <v>392</v>
      </c>
      <c r="B529" s="17" t="s">
        <v>53</v>
      </c>
      <c r="C529" s="18">
        <v>44617</v>
      </c>
      <c r="D529" s="17">
        <v>46800000000</v>
      </c>
      <c r="E529" s="17" t="s">
        <v>163</v>
      </c>
      <c r="F529" s="17">
        <v>407256314</v>
      </c>
      <c r="G529" s="17" t="s">
        <v>393</v>
      </c>
      <c r="H529" s="17" t="s">
        <v>382</v>
      </c>
      <c r="I529" s="17" t="s">
        <v>394</v>
      </c>
      <c r="J529" s="17">
        <v>2022</v>
      </c>
      <c r="K529" s="17">
        <v>0.40725631400000001</v>
      </c>
    </row>
    <row r="530" spans="1:11" x14ac:dyDescent="0.2">
      <c r="A530" s="15" t="s">
        <v>392</v>
      </c>
      <c r="B530" s="15" t="s">
        <v>53</v>
      </c>
      <c r="C530" s="16">
        <v>44617</v>
      </c>
      <c r="D530" s="15">
        <v>7800000000</v>
      </c>
      <c r="E530" s="15" t="s">
        <v>163</v>
      </c>
      <c r="F530" s="15">
        <v>67876052</v>
      </c>
      <c r="G530" s="15" t="s">
        <v>393</v>
      </c>
      <c r="H530" s="15" t="s">
        <v>382</v>
      </c>
      <c r="I530" s="15" t="s">
        <v>394</v>
      </c>
      <c r="J530" s="15">
        <v>2022</v>
      </c>
      <c r="K530" s="15">
        <v>6.7876052000000006E-2</v>
      </c>
    </row>
    <row r="531" spans="1:11" x14ac:dyDescent="0.2">
      <c r="A531" s="17" t="s">
        <v>392</v>
      </c>
      <c r="B531" s="17" t="s">
        <v>53</v>
      </c>
      <c r="C531" s="18">
        <v>45175</v>
      </c>
      <c r="D531" s="17">
        <v>30371340000</v>
      </c>
      <c r="E531" s="17" t="s">
        <v>408</v>
      </c>
      <c r="F531" s="17">
        <v>83642670</v>
      </c>
      <c r="G531" s="17" t="s">
        <v>393</v>
      </c>
      <c r="H531" s="17" t="s">
        <v>382</v>
      </c>
      <c r="I531" s="17" t="s">
        <v>394</v>
      </c>
      <c r="J531" s="17">
        <v>2023</v>
      </c>
      <c r="K531" s="17">
        <v>8.3642670000000002E-2</v>
      </c>
    </row>
    <row r="532" spans="1:11" x14ac:dyDescent="0.2">
      <c r="A532" s="15" t="s">
        <v>392</v>
      </c>
      <c r="B532" s="15" t="s">
        <v>53</v>
      </c>
      <c r="C532" s="16">
        <v>45259</v>
      </c>
      <c r="D532" s="15">
        <v>15618530000</v>
      </c>
      <c r="E532" s="15" t="s">
        <v>408</v>
      </c>
      <c r="F532" s="15">
        <v>45340593</v>
      </c>
      <c r="G532" s="15" t="s">
        <v>393</v>
      </c>
      <c r="H532" s="15" t="s">
        <v>382</v>
      </c>
      <c r="I532" s="15" t="s">
        <v>394</v>
      </c>
      <c r="J532" s="15">
        <v>2023</v>
      </c>
      <c r="K532" s="15">
        <v>4.5340592999999998E-2</v>
      </c>
    </row>
    <row r="533" spans="1:11" x14ac:dyDescent="0.2">
      <c r="A533" s="17" t="s">
        <v>392</v>
      </c>
      <c r="B533" s="17" t="s">
        <v>53</v>
      </c>
      <c r="C533" s="18">
        <v>45063</v>
      </c>
      <c r="D533" s="17">
        <v>10197860000</v>
      </c>
      <c r="E533" s="17" t="s">
        <v>408</v>
      </c>
      <c r="F533" s="17">
        <v>29879730</v>
      </c>
      <c r="G533" s="17" t="s">
        <v>393</v>
      </c>
      <c r="H533" s="17" t="s">
        <v>382</v>
      </c>
      <c r="I533" s="17" t="s">
        <v>394</v>
      </c>
      <c r="J533" s="17">
        <v>2023</v>
      </c>
      <c r="K533" s="17">
        <v>2.987973E-2</v>
      </c>
    </row>
    <row r="534" spans="1:11" x14ac:dyDescent="0.2">
      <c r="A534" s="15" t="s">
        <v>392</v>
      </c>
      <c r="B534" s="15" t="s">
        <v>53</v>
      </c>
      <c r="C534" s="16">
        <v>44385</v>
      </c>
      <c r="D534" s="15">
        <v>30224010000</v>
      </c>
      <c r="E534" s="15" t="s">
        <v>408</v>
      </c>
      <c r="F534" s="15">
        <v>100162369</v>
      </c>
      <c r="G534" s="15" t="s">
        <v>393</v>
      </c>
      <c r="H534" s="15" t="s">
        <v>382</v>
      </c>
      <c r="I534" s="15" t="s">
        <v>394</v>
      </c>
      <c r="J534" s="15">
        <v>2021</v>
      </c>
      <c r="K534" s="15">
        <v>0.100162369</v>
      </c>
    </row>
    <row r="535" spans="1:11" x14ac:dyDescent="0.2">
      <c r="A535" s="17" t="s">
        <v>392</v>
      </c>
      <c r="B535" s="17" t="s">
        <v>53</v>
      </c>
      <c r="C535" s="18">
        <v>44475</v>
      </c>
      <c r="D535" s="17">
        <v>10126670000</v>
      </c>
      <c r="E535" s="17" t="s">
        <v>408</v>
      </c>
      <c r="F535" s="17">
        <v>32587624</v>
      </c>
      <c r="G535" s="17" t="s">
        <v>393</v>
      </c>
      <c r="H535" s="17" t="s">
        <v>382</v>
      </c>
      <c r="I535" s="17" t="s">
        <v>394</v>
      </c>
      <c r="J535" s="17">
        <v>2021</v>
      </c>
      <c r="K535" s="17">
        <v>3.2587624000000003E-2</v>
      </c>
    </row>
    <row r="536" spans="1:11" x14ac:dyDescent="0.2">
      <c r="A536" s="15" t="s">
        <v>392</v>
      </c>
      <c r="B536" s="15" t="s">
        <v>53</v>
      </c>
      <c r="C536" s="16">
        <v>44531</v>
      </c>
      <c r="D536" s="15">
        <v>12120830000</v>
      </c>
      <c r="E536" s="15" t="s">
        <v>408</v>
      </c>
      <c r="F536" s="15">
        <v>37816990</v>
      </c>
      <c r="G536" s="15" t="s">
        <v>393</v>
      </c>
      <c r="H536" s="15" t="s">
        <v>382</v>
      </c>
      <c r="I536" s="15" t="s">
        <v>394</v>
      </c>
      <c r="J536" s="15">
        <v>2021</v>
      </c>
      <c r="K536" s="15">
        <v>3.7816990000000002E-2</v>
      </c>
    </row>
    <row r="537" spans="1:11" x14ac:dyDescent="0.2">
      <c r="A537" s="17" t="s">
        <v>392</v>
      </c>
      <c r="B537" s="17" t="s">
        <v>53</v>
      </c>
      <c r="C537" s="18">
        <v>44546</v>
      </c>
      <c r="D537" s="17">
        <v>1000000000</v>
      </c>
      <c r="E537" s="17" t="s">
        <v>89</v>
      </c>
      <c r="F537" s="17">
        <v>157045287</v>
      </c>
      <c r="G537" s="17" t="s">
        <v>393</v>
      </c>
      <c r="H537" s="17" t="s">
        <v>382</v>
      </c>
      <c r="I537" s="17" t="s">
        <v>394</v>
      </c>
      <c r="J537" s="17">
        <v>2021</v>
      </c>
      <c r="K537" s="17">
        <v>0.15704528700000001</v>
      </c>
    </row>
    <row r="538" spans="1:11" x14ac:dyDescent="0.2">
      <c r="A538" s="15" t="s">
        <v>392</v>
      </c>
      <c r="B538" s="15" t="s">
        <v>53</v>
      </c>
      <c r="C538" s="16">
        <v>44092</v>
      </c>
      <c r="D538" s="15">
        <v>15500000000</v>
      </c>
      <c r="E538" s="15" t="s">
        <v>163</v>
      </c>
      <c r="F538" s="15">
        <v>148523362</v>
      </c>
      <c r="G538" s="15" t="s">
        <v>393</v>
      </c>
      <c r="H538" s="15" t="s">
        <v>382</v>
      </c>
      <c r="I538" s="15" t="s">
        <v>394</v>
      </c>
      <c r="J538" s="15">
        <v>2020</v>
      </c>
      <c r="K538" s="15">
        <v>0.14852336199999999</v>
      </c>
    </row>
    <row r="539" spans="1:11" x14ac:dyDescent="0.2">
      <c r="A539" s="17" t="s">
        <v>392</v>
      </c>
      <c r="B539" s="17" t="s">
        <v>53</v>
      </c>
      <c r="C539" s="18">
        <v>43987</v>
      </c>
      <c r="D539" s="17">
        <v>1500000000</v>
      </c>
      <c r="E539" s="17" t="s">
        <v>54</v>
      </c>
      <c r="F539" s="17">
        <v>1699500000</v>
      </c>
      <c r="G539" s="17" t="s">
        <v>393</v>
      </c>
      <c r="H539" s="17" t="s">
        <v>382</v>
      </c>
      <c r="I539" s="17" t="s">
        <v>394</v>
      </c>
      <c r="J539" s="17">
        <v>2020</v>
      </c>
      <c r="K539" s="17">
        <v>1.6995</v>
      </c>
    </row>
    <row r="540" spans="1:11" x14ac:dyDescent="0.2">
      <c r="A540" s="15" t="s">
        <v>392</v>
      </c>
      <c r="B540" s="15" t="s">
        <v>53</v>
      </c>
      <c r="C540" s="16">
        <v>44777</v>
      </c>
      <c r="D540" s="15">
        <v>16748550000</v>
      </c>
      <c r="E540" s="15" t="s">
        <v>408</v>
      </c>
      <c r="F540" s="15">
        <v>43062020</v>
      </c>
      <c r="G540" s="15" t="s">
        <v>393</v>
      </c>
      <c r="H540" s="15" t="s">
        <v>382</v>
      </c>
      <c r="I540" s="15" t="s">
        <v>394</v>
      </c>
      <c r="J540" s="15">
        <v>2022</v>
      </c>
      <c r="K540" s="15">
        <v>4.3062019999999999E-2</v>
      </c>
    </row>
    <row r="541" spans="1:11" x14ac:dyDescent="0.2">
      <c r="A541" s="17" t="s">
        <v>392</v>
      </c>
      <c r="B541" s="17" t="s">
        <v>53</v>
      </c>
      <c r="C541" s="18">
        <v>44825</v>
      </c>
      <c r="D541" s="17">
        <v>19906910000</v>
      </c>
      <c r="E541" s="17" t="s">
        <v>408</v>
      </c>
      <c r="F541" s="17">
        <v>48055281</v>
      </c>
      <c r="G541" s="17" t="s">
        <v>393</v>
      </c>
      <c r="H541" s="17" t="s">
        <v>382</v>
      </c>
      <c r="I541" s="17" t="s">
        <v>394</v>
      </c>
      <c r="J541" s="17">
        <v>2022</v>
      </c>
      <c r="K541" s="17">
        <v>4.8055280999999998E-2</v>
      </c>
    </row>
    <row r="542" spans="1:11" x14ac:dyDescent="0.2">
      <c r="A542" s="15" t="s">
        <v>392</v>
      </c>
      <c r="B542" s="15" t="s">
        <v>53</v>
      </c>
      <c r="C542" s="16">
        <v>44805</v>
      </c>
      <c r="D542" s="15">
        <v>29160000000</v>
      </c>
      <c r="E542" s="15" t="s">
        <v>408</v>
      </c>
      <c r="F542" s="15">
        <v>73005816</v>
      </c>
      <c r="G542" s="15" t="s">
        <v>393</v>
      </c>
      <c r="H542" s="15" t="s">
        <v>382</v>
      </c>
      <c r="I542" s="15" t="s">
        <v>394</v>
      </c>
      <c r="J542" s="15">
        <v>2022</v>
      </c>
      <c r="K542" s="15">
        <v>7.3005816000000001E-2</v>
      </c>
    </row>
    <row r="543" spans="1:11" x14ac:dyDescent="0.2">
      <c r="A543" s="17" t="s">
        <v>392</v>
      </c>
      <c r="B543" s="17" t="s">
        <v>53</v>
      </c>
      <c r="C543" s="18">
        <v>44879</v>
      </c>
      <c r="D543" s="17">
        <v>2000000000</v>
      </c>
      <c r="E543" s="17" t="s">
        <v>89</v>
      </c>
      <c r="F543" s="17">
        <v>282724000</v>
      </c>
      <c r="G543" s="17" t="s">
        <v>393</v>
      </c>
      <c r="H543" s="17" t="s">
        <v>382</v>
      </c>
      <c r="I543" s="17" t="s">
        <v>394</v>
      </c>
      <c r="J543" s="17">
        <v>2022</v>
      </c>
      <c r="K543" s="17">
        <v>0.28272399999999998</v>
      </c>
    </row>
    <row r="544" spans="1:11" x14ac:dyDescent="0.2">
      <c r="A544" s="15" t="s">
        <v>392</v>
      </c>
      <c r="B544" s="15" t="s">
        <v>53</v>
      </c>
      <c r="C544" s="16">
        <v>44741</v>
      </c>
      <c r="D544" s="15">
        <v>15293110000</v>
      </c>
      <c r="E544" s="15" t="s">
        <v>408</v>
      </c>
      <c r="F544" s="15">
        <v>40542035</v>
      </c>
      <c r="G544" s="15" t="s">
        <v>393</v>
      </c>
      <c r="H544" s="15" t="s">
        <v>382</v>
      </c>
      <c r="I544" s="15" t="s">
        <v>394</v>
      </c>
      <c r="J544" s="15">
        <v>2022</v>
      </c>
      <c r="K544" s="15">
        <v>4.0542034999999997E-2</v>
      </c>
    </row>
    <row r="545" spans="1:11" x14ac:dyDescent="0.2">
      <c r="A545" s="17" t="s">
        <v>392</v>
      </c>
      <c r="B545" s="17" t="s">
        <v>53</v>
      </c>
      <c r="C545" s="18">
        <v>45007</v>
      </c>
      <c r="D545" s="17">
        <v>11501150000</v>
      </c>
      <c r="E545" s="17" t="s">
        <v>408</v>
      </c>
      <c r="F545" s="17">
        <v>32283728</v>
      </c>
      <c r="G545" s="17" t="s">
        <v>393</v>
      </c>
      <c r="H545" s="17" t="s">
        <v>382</v>
      </c>
      <c r="I545" s="17" t="s">
        <v>394</v>
      </c>
      <c r="J545" s="17">
        <v>2023</v>
      </c>
      <c r="K545" s="17">
        <v>3.2283727999999998E-2</v>
      </c>
    </row>
    <row r="546" spans="1:11" x14ac:dyDescent="0.2">
      <c r="A546" s="15" t="s">
        <v>392</v>
      </c>
      <c r="B546" s="15" t="s">
        <v>53</v>
      </c>
      <c r="C546" s="16">
        <v>45232</v>
      </c>
      <c r="D546" s="15">
        <v>11439130000</v>
      </c>
      <c r="E546" s="15" t="s">
        <v>408</v>
      </c>
      <c r="F546" s="15">
        <v>31800781</v>
      </c>
      <c r="G546" s="15" t="s">
        <v>393</v>
      </c>
      <c r="H546" s="15" t="s">
        <v>382</v>
      </c>
      <c r="I546" s="15" t="s">
        <v>394</v>
      </c>
      <c r="J546" s="15">
        <v>2023</v>
      </c>
      <c r="K546" s="15">
        <v>3.1800781E-2</v>
      </c>
    </row>
    <row r="547" spans="1:11" x14ac:dyDescent="0.2">
      <c r="A547" s="17" t="s">
        <v>392</v>
      </c>
      <c r="B547" s="17" t="s">
        <v>53</v>
      </c>
      <c r="C547" s="18">
        <v>44314</v>
      </c>
      <c r="D547" s="17">
        <v>41200000000</v>
      </c>
      <c r="E547" s="17" t="s">
        <v>408</v>
      </c>
      <c r="F547" s="17">
        <v>137466205</v>
      </c>
      <c r="G547" s="17" t="s">
        <v>393</v>
      </c>
      <c r="H547" s="17" t="s">
        <v>382</v>
      </c>
      <c r="I547" s="17" t="s">
        <v>394</v>
      </c>
      <c r="J547" s="17">
        <v>2021</v>
      </c>
      <c r="K547" s="17">
        <v>0.13746620500000001</v>
      </c>
    </row>
    <row r="548" spans="1:11" x14ac:dyDescent="0.2">
      <c r="A548" s="15" t="s">
        <v>456</v>
      </c>
      <c r="B548" s="15" t="s">
        <v>53</v>
      </c>
      <c r="C548" s="16">
        <v>43613</v>
      </c>
      <c r="D548" s="15">
        <v>1000000000</v>
      </c>
      <c r="E548" s="15" t="s">
        <v>59</v>
      </c>
      <c r="F548" s="15">
        <v>1000000000</v>
      </c>
      <c r="G548" s="15" t="s">
        <v>105</v>
      </c>
      <c r="H548" s="15" t="s">
        <v>382</v>
      </c>
      <c r="I548" s="15" t="s">
        <v>457</v>
      </c>
      <c r="J548" s="15">
        <v>2019</v>
      </c>
      <c r="K548" s="15">
        <v>1</v>
      </c>
    </row>
    <row r="549" spans="1:11" x14ac:dyDescent="0.2">
      <c r="A549" s="17" t="s">
        <v>456</v>
      </c>
      <c r="B549" s="17" t="s">
        <v>53</v>
      </c>
      <c r="C549" s="18">
        <v>44229</v>
      </c>
      <c r="D549" s="17">
        <v>1000000000</v>
      </c>
      <c r="E549" s="17" t="s">
        <v>59</v>
      </c>
      <c r="F549" s="17">
        <v>1000000000</v>
      </c>
      <c r="G549" s="17" t="s">
        <v>105</v>
      </c>
      <c r="H549" s="17" t="s">
        <v>382</v>
      </c>
      <c r="I549" s="17" t="s">
        <v>457</v>
      </c>
      <c r="J549" s="17">
        <v>2021</v>
      </c>
      <c r="K549" s="17">
        <v>1</v>
      </c>
    </row>
    <row r="550" spans="1:11" x14ac:dyDescent="0.2">
      <c r="A550" s="15" t="s">
        <v>456</v>
      </c>
      <c r="B550" s="15" t="s">
        <v>53</v>
      </c>
      <c r="C550" s="16">
        <v>44229</v>
      </c>
      <c r="D550" s="15">
        <v>500000000</v>
      </c>
      <c r="E550" s="15" t="s">
        <v>59</v>
      </c>
      <c r="F550" s="15">
        <v>500000000</v>
      </c>
      <c r="G550" s="15" t="s">
        <v>105</v>
      </c>
      <c r="H550" s="15" t="s">
        <v>382</v>
      </c>
      <c r="I550" s="15" t="s">
        <v>457</v>
      </c>
      <c r="J550" s="15">
        <v>2021</v>
      </c>
      <c r="K550" s="15">
        <v>0.5</v>
      </c>
    </row>
    <row r="551" spans="1:11" x14ac:dyDescent="0.2">
      <c r="A551" s="17" t="s">
        <v>456</v>
      </c>
      <c r="B551" s="17" t="s">
        <v>53</v>
      </c>
      <c r="C551" s="18">
        <v>44229</v>
      </c>
      <c r="D551" s="17">
        <v>1000000000</v>
      </c>
      <c r="E551" s="17" t="s">
        <v>59</v>
      </c>
      <c r="F551" s="17">
        <v>1000000000</v>
      </c>
      <c r="G551" s="17" t="s">
        <v>105</v>
      </c>
      <c r="H551" s="17" t="s">
        <v>382</v>
      </c>
      <c r="I551" s="17" t="s">
        <v>457</v>
      </c>
      <c r="J551" s="17">
        <v>2021</v>
      </c>
      <c r="K551" s="17">
        <v>1</v>
      </c>
    </row>
    <row r="552" spans="1:11" x14ac:dyDescent="0.2">
      <c r="A552" s="15" t="s">
        <v>456</v>
      </c>
      <c r="B552" s="15" t="s">
        <v>53</v>
      </c>
      <c r="C552" s="16">
        <v>44524</v>
      </c>
      <c r="D552" s="15">
        <v>500000000</v>
      </c>
      <c r="E552" s="15" t="s">
        <v>54</v>
      </c>
      <c r="F552" s="15">
        <v>560300000</v>
      </c>
      <c r="G552" s="15" t="s">
        <v>105</v>
      </c>
      <c r="H552" s="15" t="s">
        <v>382</v>
      </c>
      <c r="I552" s="15" t="s">
        <v>457</v>
      </c>
      <c r="J552" s="15">
        <v>2021</v>
      </c>
      <c r="K552" s="15">
        <v>0.56030000000000002</v>
      </c>
    </row>
    <row r="553" spans="1:11" x14ac:dyDescent="0.2">
      <c r="A553" s="17" t="s">
        <v>456</v>
      </c>
      <c r="B553" s="17" t="s">
        <v>53</v>
      </c>
      <c r="C553" s="18">
        <v>44530</v>
      </c>
      <c r="D553" s="17">
        <v>2500000000</v>
      </c>
      <c r="E553" s="17" t="s">
        <v>89</v>
      </c>
      <c r="F553" s="17">
        <v>392395884</v>
      </c>
      <c r="G553" s="17" t="s">
        <v>105</v>
      </c>
      <c r="H553" s="17" t="s">
        <v>382</v>
      </c>
      <c r="I553" s="17" t="s">
        <v>457</v>
      </c>
      <c r="J553" s="17">
        <v>2021</v>
      </c>
      <c r="K553" s="17">
        <v>0.39239588399999997</v>
      </c>
    </row>
    <row r="554" spans="1:11" x14ac:dyDescent="0.2">
      <c r="A554" s="15" t="s">
        <v>456</v>
      </c>
      <c r="B554" s="15" t="s">
        <v>53</v>
      </c>
      <c r="C554" s="16">
        <v>45084</v>
      </c>
      <c r="D554" s="15">
        <v>1000000000</v>
      </c>
      <c r="E554" s="15" t="s">
        <v>59</v>
      </c>
      <c r="F554" s="15">
        <v>1000000000</v>
      </c>
      <c r="G554" s="15" t="s">
        <v>105</v>
      </c>
      <c r="H554" s="15" t="s">
        <v>382</v>
      </c>
      <c r="I554" s="15" t="s">
        <v>457</v>
      </c>
      <c r="J554" s="15">
        <v>2023</v>
      </c>
      <c r="K554" s="15">
        <v>1</v>
      </c>
    </row>
    <row r="555" spans="1:11" x14ac:dyDescent="0.2">
      <c r="A555" s="17" t="s">
        <v>456</v>
      </c>
      <c r="B555" s="17" t="s">
        <v>53</v>
      </c>
      <c r="C555" s="18">
        <v>45084</v>
      </c>
      <c r="D555" s="17">
        <v>750000000</v>
      </c>
      <c r="E555" s="17" t="s">
        <v>59</v>
      </c>
      <c r="F555" s="17">
        <v>750000000</v>
      </c>
      <c r="G555" s="17" t="s">
        <v>105</v>
      </c>
      <c r="H555" s="17" t="s">
        <v>382</v>
      </c>
      <c r="I555" s="17" t="s">
        <v>457</v>
      </c>
      <c r="J555" s="17">
        <v>2023</v>
      </c>
      <c r="K555" s="17">
        <v>0.75</v>
      </c>
    </row>
    <row r="556" spans="1:11" x14ac:dyDescent="0.2">
      <c r="A556" s="15" t="s">
        <v>456</v>
      </c>
      <c r="B556" s="15" t="s">
        <v>53</v>
      </c>
      <c r="C556" s="16">
        <v>45084</v>
      </c>
      <c r="D556" s="15">
        <v>3000000000</v>
      </c>
      <c r="E556" s="15" t="s">
        <v>89</v>
      </c>
      <c r="F556" s="15">
        <v>420768000</v>
      </c>
      <c r="G556" s="15" t="s">
        <v>105</v>
      </c>
      <c r="H556" s="15" t="s">
        <v>382</v>
      </c>
      <c r="I556" s="15" t="s">
        <v>457</v>
      </c>
      <c r="J556" s="15">
        <v>2023</v>
      </c>
      <c r="K556" s="15">
        <v>0.42076799999999998</v>
      </c>
    </row>
    <row r="557" spans="1:11" x14ac:dyDescent="0.2">
      <c r="A557" s="17" t="s">
        <v>456</v>
      </c>
      <c r="B557" s="17" t="s">
        <v>53</v>
      </c>
      <c r="C557" s="18">
        <v>44530</v>
      </c>
      <c r="D557" s="17">
        <v>2500000000</v>
      </c>
      <c r="E557" s="17" t="s">
        <v>89</v>
      </c>
      <c r="F557" s="17">
        <v>392395884</v>
      </c>
      <c r="G557" s="17" t="s">
        <v>105</v>
      </c>
      <c r="H557" s="17" t="s">
        <v>382</v>
      </c>
      <c r="I557" s="17" t="s">
        <v>457</v>
      </c>
      <c r="J557" s="17">
        <v>2021</v>
      </c>
      <c r="K557" s="17">
        <v>0.39239588399999997</v>
      </c>
    </row>
    <row r="558" spans="1:11" x14ac:dyDescent="0.2">
      <c r="A558" s="15" t="s">
        <v>456</v>
      </c>
      <c r="B558" s="15" t="s">
        <v>53</v>
      </c>
      <c r="C558" s="16">
        <v>44973</v>
      </c>
      <c r="D558" s="15">
        <v>800000000</v>
      </c>
      <c r="E558" s="15" t="s">
        <v>81</v>
      </c>
      <c r="F558" s="15">
        <v>101921600</v>
      </c>
      <c r="G558" s="15" t="s">
        <v>105</v>
      </c>
      <c r="H558" s="15" t="s">
        <v>382</v>
      </c>
      <c r="I558" s="15" t="s">
        <v>457</v>
      </c>
      <c r="J558" s="15">
        <v>2023</v>
      </c>
      <c r="K558" s="15">
        <v>0.1019216</v>
      </c>
    </row>
    <row r="559" spans="1:11" x14ac:dyDescent="0.2">
      <c r="A559" s="17" t="s">
        <v>456</v>
      </c>
      <c r="B559" s="17" t="s">
        <v>53</v>
      </c>
      <c r="C559" s="18">
        <v>44937</v>
      </c>
      <c r="D559" s="17">
        <v>500000000</v>
      </c>
      <c r="E559" s="17" t="s">
        <v>59</v>
      </c>
      <c r="F559" s="17">
        <v>500000000</v>
      </c>
      <c r="G559" s="17" t="s">
        <v>105</v>
      </c>
      <c r="H559" s="17" t="s">
        <v>382</v>
      </c>
      <c r="I559" s="17" t="s">
        <v>457</v>
      </c>
      <c r="J559" s="17">
        <v>2023</v>
      </c>
      <c r="K559" s="17">
        <v>0.5</v>
      </c>
    </row>
    <row r="560" spans="1:11" x14ac:dyDescent="0.2">
      <c r="A560" s="15" t="s">
        <v>456</v>
      </c>
      <c r="B560" s="15" t="s">
        <v>53</v>
      </c>
      <c r="C560" s="16">
        <v>45084</v>
      </c>
      <c r="D560" s="15">
        <v>750000000</v>
      </c>
      <c r="E560" s="15" t="s">
        <v>54</v>
      </c>
      <c r="F560" s="15">
        <v>803031750</v>
      </c>
      <c r="G560" s="15" t="s">
        <v>105</v>
      </c>
      <c r="H560" s="15" t="s">
        <v>382</v>
      </c>
      <c r="I560" s="15" t="s">
        <v>457</v>
      </c>
      <c r="J560" s="15">
        <v>2023</v>
      </c>
      <c r="K560" s="15">
        <v>0.80303175000000004</v>
      </c>
    </row>
    <row r="561" spans="1:11" x14ac:dyDescent="0.2">
      <c r="A561" s="17" t="s">
        <v>456</v>
      </c>
      <c r="B561" s="17" t="s">
        <v>53</v>
      </c>
      <c r="C561" s="18">
        <v>44937</v>
      </c>
      <c r="D561" s="17">
        <v>1000000000</v>
      </c>
      <c r="E561" s="17" t="s">
        <v>59</v>
      </c>
      <c r="F561" s="17">
        <v>1000000000</v>
      </c>
      <c r="G561" s="17" t="s">
        <v>105</v>
      </c>
      <c r="H561" s="17" t="s">
        <v>382</v>
      </c>
      <c r="I561" s="17" t="s">
        <v>457</v>
      </c>
      <c r="J561" s="17">
        <v>2023</v>
      </c>
      <c r="K561" s="17">
        <v>1</v>
      </c>
    </row>
    <row r="562" spans="1:11" x14ac:dyDescent="0.2">
      <c r="A562" s="15" t="s">
        <v>456</v>
      </c>
      <c r="B562" s="15" t="s">
        <v>53</v>
      </c>
      <c r="C562" s="16">
        <v>44937</v>
      </c>
      <c r="D562" s="15">
        <v>500000000</v>
      </c>
      <c r="E562" s="15" t="s">
        <v>59</v>
      </c>
      <c r="F562" s="15">
        <v>500000000</v>
      </c>
      <c r="G562" s="15" t="s">
        <v>105</v>
      </c>
      <c r="H562" s="15" t="s">
        <v>382</v>
      </c>
      <c r="I562" s="15" t="s">
        <v>457</v>
      </c>
      <c r="J562" s="15">
        <v>2023</v>
      </c>
      <c r="K562" s="15">
        <v>0.5</v>
      </c>
    </row>
    <row r="563" spans="1:11" x14ac:dyDescent="0.2">
      <c r="A563" s="17" t="s">
        <v>456</v>
      </c>
      <c r="B563" s="17" t="s">
        <v>53</v>
      </c>
      <c r="C563" s="18">
        <v>44937</v>
      </c>
      <c r="D563" s="17">
        <v>1000000000</v>
      </c>
      <c r="E563" s="17" t="s">
        <v>59</v>
      </c>
      <c r="F563" s="17">
        <v>1000000000</v>
      </c>
      <c r="G563" s="17" t="s">
        <v>105</v>
      </c>
      <c r="H563" s="17" t="s">
        <v>382</v>
      </c>
      <c r="I563" s="17" t="s">
        <v>457</v>
      </c>
      <c r="J563" s="17">
        <v>2023</v>
      </c>
      <c r="K563" s="17">
        <v>1</v>
      </c>
    </row>
    <row r="564" spans="1:11" x14ac:dyDescent="0.2">
      <c r="A564" s="15" t="s">
        <v>456</v>
      </c>
      <c r="B564" s="15" t="s">
        <v>53</v>
      </c>
      <c r="C564" s="16">
        <v>44937</v>
      </c>
      <c r="D564" s="15">
        <v>500000000</v>
      </c>
      <c r="E564" s="15" t="s">
        <v>54</v>
      </c>
      <c r="F564" s="15">
        <v>538207000</v>
      </c>
      <c r="G564" s="15" t="s">
        <v>105</v>
      </c>
      <c r="H564" s="15" t="s">
        <v>382</v>
      </c>
      <c r="I564" s="15" t="s">
        <v>457</v>
      </c>
      <c r="J564" s="15">
        <v>2023</v>
      </c>
      <c r="K564" s="15">
        <v>0.53820699999999999</v>
      </c>
    </row>
    <row r="565" spans="1:11" x14ac:dyDescent="0.2">
      <c r="A565" s="17" t="s">
        <v>456</v>
      </c>
      <c r="B565" s="17" t="s">
        <v>53</v>
      </c>
      <c r="C565" s="18">
        <v>44937</v>
      </c>
      <c r="D565" s="17">
        <v>750000000</v>
      </c>
      <c r="E565" s="17" t="s">
        <v>54</v>
      </c>
      <c r="F565" s="17">
        <v>807310500</v>
      </c>
      <c r="G565" s="17" t="s">
        <v>105</v>
      </c>
      <c r="H565" s="17" t="s">
        <v>382</v>
      </c>
      <c r="I565" s="17" t="s">
        <v>457</v>
      </c>
      <c r="J565" s="17">
        <v>2023</v>
      </c>
      <c r="K565" s="17">
        <v>0.80731050000000004</v>
      </c>
    </row>
    <row r="566" spans="1:11" x14ac:dyDescent="0.2">
      <c r="A566" s="15" t="s">
        <v>456</v>
      </c>
      <c r="B566" s="15" t="s">
        <v>53</v>
      </c>
      <c r="C566" s="16">
        <v>44937</v>
      </c>
      <c r="D566" s="15">
        <v>5000000000</v>
      </c>
      <c r="E566" s="15" t="s">
        <v>89</v>
      </c>
      <c r="F566" s="15">
        <v>738500000</v>
      </c>
      <c r="G566" s="15" t="s">
        <v>105</v>
      </c>
      <c r="H566" s="15" t="s">
        <v>382</v>
      </c>
      <c r="I566" s="15" t="s">
        <v>457</v>
      </c>
      <c r="J566" s="15">
        <v>2023</v>
      </c>
      <c r="K566" s="15">
        <v>0.73850000000000005</v>
      </c>
    </row>
    <row r="567" spans="1:11" x14ac:dyDescent="0.2">
      <c r="A567" s="17" t="s">
        <v>456</v>
      </c>
      <c r="B567" s="17" t="s">
        <v>53</v>
      </c>
      <c r="C567" s="18">
        <v>44937</v>
      </c>
      <c r="D567" s="17">
        <v>5000000000</v>
      </c>
      <c r="E567" s="17" t="s">
        <v>89</v>
      </c>
      <c r="F567" s="17">
        <v>738500000</v>
      </c>
      <c r="G567" s="17" t="s">
        <v>105</v>
      </c>
      <c r="H567" s="17" t="s">
        <v>382</v>
      </c>
      <c r="I567" s="17" t="s">
        <v>457</v>
      </c>
      <c r="J567" s="17">
        <v>2023</v>
      </c>
      <c r="K567" s="17">
        <v>0.73850000000000005</v>
      </c>
    </row>
    <row r="568" spans="1:11" x14ac:dyDescent="0.2">
      <c r="A568" s="15" t="s">
        <v>456</v>
      </c>
      <c r="B568" s="15" t="s">
        <v>53</v>
      </c>
      <c r="C568" s="16">
        <v>45209</v>
      </c>
      <c r="D568" s="15">
        <v>20000000000</v>
      </c>
      <c r="E568" s="15" t="s">
        <v>81</v>
      </c>
      <c r="F568" s="15">
        <v>2557700000</v>
      </c>
      <c r="G568" s="15" t="s">
        <v>105</v>
      </c>
      <c r="H568" s="15" t="s">
        <v>382</v>
      </c>
      <c r="I568" s="15" t="s">
        <v>457</v>
      </c>
      <c r="J568" s="15">
        <v>2023</v>
      </c>
      <c r="K568" s="15">
        <v>2.5577000000000001</v>
      </c>
    </row>
    <row r="569" spans="1:11" x14ac:dyDescent="0.2">
      <c r="A569" s="17" t="s">
        <v>193</v>
      </c>
      <c r="B569" s="17" t="s">
        <v>53</v>
      </c>
      <c r="C569" s="18">
        <v>44958</v>
      </c>
      <c r="D569" s="17">
        <v>3000000000</v>
      </c>
      <c r="E569" s="17" t="s">
        <v>192</v>
      </c>
      <c r="F569" s="17">
        <v>3715977000</v>
      </c>
      <c r="G569" s="17" t="s">
        <v>517</v>
      </c>
      <c r="H569" s="17" t="s">
        <v>382</v>
      </c>
      <c r="I569" s="17" t="s">
        <v>518</v>
      </c>
      <c r="J569" s="17">
        <v>2023</v>
      </c>
      <c r="K569" s="17">
        <v>3.7159770000000001</v>
      </c>
    </row>
    <row r="570" spans="1:11" x14ac:dyDescent="0.2">
      <c r="A570" s="15" t="s">
        <v>193</v>
      </c>
      <c r="B570" s="15" t="s">
        <v>53</v>
      </c>
      <c r="C570" s="16">
        <v>44852</v>
      </c>
      <c r="D570" s="15">
        <v>243000000</v>
      </c>
      <c r="E570" s="15" t="s">
        <v>192</v>
      </c>
      <c r="F570" s="15">
        <v>274929252</v>
      </c>
      <c r="G570" s="15" t="s">
        <v>517</v>
      </c>
      <c r="H570" s="15" t="s">
        <v>382</v>
      </c>
      <c r="I570" s="15" t="s">
        <v>518</v>
      </c>
      <c r="J570" s="15">
        <v>2022</v>
      </c>
      <c r="K570" s="15">
        <v>0.27492925200000001</v>
      </c>
    </row>
    <row r="571" spans="1:11" x14ac:dyDescent="0.2">
      <c r="A571" s="17" t="s">
        <v>193</v>
      </c>
      <c r="B571" s="17" t="s">
        <v>53</v>
      </c>
      <c r="C571" s="18">
        <v>44670</v>
      </c>
      <c r="D571" s="17">
        <v>90000000</v>
      </c>
      <c r="E571" s="17" t="s">
        <v>192</v>
      </c>
      <c r="F571" s="17">
        <v>117204508</v>
      </c>
      <c r="G571" s="17" t="s">
        <v>517</v>
      </c>
      <c r="H571" s="17" t="s">
        <v>382</v>
      </c>
      <c r="I571" s="17" t="s">
        <v>518</v>
      </c>
      <c r="J571" s="17">
        <v>2022</v>
      </c>
      <c r="K571" s="17">
        <v>0.117204508</v>
      </c>
    </row>
    <row r="572" spans="1:11" x14ac:dyDescent="0.2">
      <c r="A572" s="15" t="s">
        <v>193</v>
      </c>
      <c r="B572" s="15" t="s">
        <v>53</v>
      </c>
      <c r="C572" s="16">
        <v>44691</v>
      </c>
      <c r="D572" s="15">
        <v>2250000000</v>
      </c>
      <c r="E572" s="15" t="s">
        <v>192</v>
      </c>
      <c r="F572" s="15">
        <v>2774285881</v>
      </c>
      <c r="G572" s="15" t="s">
        <v>517</v>
      </c>
      <c r="H572" s="15" t="s">
        <v>382</v>
      </c>
      <c r="I572" s="15" t="s">
        <v>518</v>
      </c>
      <c r="J572" s="15">
        <v>2022</v>
      </c>
      <c r="K572" s="15">
        <v>2.774285881</v>
      </c>
    </row>
    <row r="573" spans="1:11" x14ac:dyDescent="0.2">
      <c r="A573" s="17" t="s">
        <v>193</v>
      </c>
      <c r="B573" s="17" t="s">
        <v>53</v>
      </c>
      <c r="C573" s="18">
        <v>44761</v>
      </c>
      <c r="D573" s="17">
        <v>117000000</v>
      </c>
      <c r="E573" s="17" t="s">
        <v>192</v>
      </c>
      <c r="F573" s="17">
        <v>140518505</v>
      </c>
      <c r="G573" s="17" t="s">
        <v>517</v>
      </c>
      <c r="H573" s="17" t="s">
        <v>382</v>
      </c>
      <c r="I573" s="17" t="s">
        <v>518</v>
      </c>
      <c r="J573" s="17">
        <v>2022</v>
      </c>
      <c r="K573" s="17">
        <v>0.14051850499999999</v>
      </c>
    </row>
    <row r="574" spans="1:11" x14ac:dyDescent="0.2">
      <c r="A574" s="15" t="s">
        <v>193</v>
      </c>
      <c r="B574" s="15" t="s">
        <v>53</v>
      </c>
      <c r="C574" s="16">
        <v>45112</v>
      </c>
      <c r="D574" s="15">
        <v>2000000000</v>
      </c>
      <c r="E574" s="15" t="s">
        <v>192</v>
      </c>
      <c r="F574" s="15">
        <v>2540814000</v>
      </c>
      <c r="G574" s="15" t="s">
        <v>517</v>
      </c>
      <c r="H574" s="15" t="s">
        <v>382</v>
      </c>
      <c r="I574" s="15" t="s">
        <v>518</v>
      </c>
      <c r="J574" s="15">
        <v>2023</v>
      </c>
      <c r="K574" s="15">
        <v>2.5408140000000001</v>
      </c>
    </row>
    <row r="575" spans="1:11" x14ac:dyDescent="0.2">
      <c r="A575" s="17" t="s">
        <v>193</v>
      </c>
      <c r="B575" s="17" t="s">
        <v>53</v>
      </c>
      <c r="C575" s="18">
        <v>45329</v>
      </c>
      <c r="D575" s="17">
        <v>2500000000</v>
      </c>
      <c r="E575" s="17" t="s">
        <v>192</v>
      </c>
      <c r="F575" s="17">
        <v>3145247500</v>
      </c>
      <c r="G575" s="17" t="s">
        <v>517</v>
      </c>
      <c r="H575" s="17" t="s">
        <v>382</v>
      </c>
      <c r="I575" s="17" t="s">
        <v>518</v>
      </c>
      <c r="J575" s="17">
        <v>2024</v>
      </c>
      <c r="K575" s="17">
        <v>3.1452475</v>
      </c>
    </row>
    <row r="576" spans="1:11" x14ac:dyDescent="0.2">
      <c r="A576" s="15" t="s">
        <v>193</v>
      </c>
      <c r="B576" s="15" t="s">
        <v>53</v>
      </c>
      <c r="C576" s="16">
        <v>45071</v>
      </c>
      <c r="D576" s="15">
        <v>3000000000</v>
      </c>
      <c r="E576" s="15" t="s">
        <v>192</v>
      </c>
      <c r="F576" s="15">
        <v>3708603000</v>
      </c>
      <c r="G576" s="15" t="s">
        <v>517</v>
      </c>
      <c r="H576" s="15" t="s">
        <v>382</v>
      </c>
      <c r="I576" s="15" t="s">
        <v>518</v>
      </c>
      <c r="J576" s="15">
        <v>2023</v>
      </c>
      <c r="K576" s="15">
        <v>3.7086030000000001</v>
      </c>
    </row>
    <row r="577" spans="1:11" x14ac:dyDescent="0.2">
      <c r="A577" s="17" t="s">
        <v>193</v>
      </c>
      <c r="B577" s="17" t="s">
        <v>53</v>
      </c>
      <c r="C577" s="18">
        <v>45267</v>
      </c>
      <c r="D577" s="17">
        <v>3000000000</v>
      </c>
      <c r="E577" s="17" t="s">
        <v>192</v>
      </c>
      <c r="F577" s="17">
        <v>3776364000</v>
      </c>
      <c r="G577" s="17" t="s">
        <v>517</v>
      </c>
      <c r="H577" s="17" t="s">
        <v>382</v>
      </c>
      <c r="I577" s="17" t="s">
        <v>518</v>
      </c>
      <c r="J577" s="17">
        <v>2023</v>
      </c>
      <c r="K577" s="17">
        <v>3.7763640000000001</v>
      </c>
    </row>
    <row r="578" spans="1:11" x14ac:dyDescent="0.2">
      <c r="A578" s="15" t="s">
        <v>193</v>
      </c>
      <c r="B578" s="15" t="s">
        <v>53</v>
      </c>
      <c r="C578" s="16">
        <v>44980</v>
      </c>
      <c r="D578" s="15">
        <v>2000000000</v>
      </c>
      <c r="E578" s="15" t="s">
        <v>192</v>
      </c>
      <c r="F578" s="15">
        <v>2403384000</v>
      </c>
      <c r="G578" s="15" t="s">
        <v>517</v>
      </c>
      <c r="H578" s="15" t="s">
        <v>382</v>
      </c>
      <c r="I578" s="15" t="s">
        <v>518</v>
      </c>
      <c r="J578" s="15">
        <v>2023</v>
      </c>
      <c r="K578" s="15">
        <v>2.403384</v>
      </c>
    </row>
    <row r="579" spans="1:11" x14ac:dyDescent="0.2">
      <c r="A579" s="17" t="s">
        <v>193</v>
      </c>
      <c r="B579" s="17" t="s">
        <v>53</v>
      </c>
      <c r="C579" s="18">
        <v>44833</v>
      </c>
      <c r="D579" s="17">
        <v>4500000000</v>
      </c>
      <c r="E579" s="17" t="s">
        <v>192</v>
      </c>
      <c r="F579" s="17">
        <v>4880929765</v>
      </c>
      <c r="G579" s="17" t="s">
        <v>517</v>
      </c>
      <c r="H579" s="17" t="s">
        <v>382</v>
      </c>
      <c r="I579" s="17" t="s">
        <v>518</v>
      </c>
      <c r="J579" s="17">
        <v>2022</v>
      </c>
      <c r="K579" s="17">
        <v>4.8809297650000003</v>
      </c>
    </row>
    <row r="580" spans="1:11" x14ac:dyDescent="0.2">
      <c r="A580" s="15" t="s">
        <v>193</v>
      </c>
      <c r="B580" s="15" t="s">
        <v>53</v>
      </c>
      <c r="C580" s="16">
        <v>44874</v>
      </c>
      <c r="D580" s="15">
        <v>2750000000</v>
      </c>
      <c r="E580" s="15" t="s">
        <v>192</v>
      </c>
      <c r="F580" s="15">
        <v>3124756250</v>
      </c>
      <c r="G580" s="15" t="s">
        <v>517</v>
      </c>
      <c r="H580" s="15" t="s">
        <v>382</v>
      </c>
      <c r="I580" s="15" t="s">
        <v>518</v>
      </c>
      <c r="J580" s="15">
        <v>2022</v>
      </c>
      <c r="K580" s="15">
        <v>3.1247562499999999</v>
      </c>
    </row>
    <row r="581" spans="1:11" x14ac:dyDescent="0.2">
      <c r="A581" s="17" t="s">
        <v>193</v>
      </c>
      <c r="B581" s="17" t="s">
        <v>53</v>
      </c>
      <c r="C581" s="18">
        <v>44852</v>
      </c>
      <c r="D581" s="17">
        <v>285000000</v>
      </c>
      <c r="E581" s="17" t="s">
        <v>192</v>
      </c>
      <c r="F581" s="17">
        <v>323281485</v>
      </c>
      <c r="G581" s="17" t="s">
        <v>517</v>
      </c>
      <c r="H581" s="17" t="s">
        <v>382</v>
      </c>
      <c r="I581" s="17" t="s">
        <v>518</v>
      </c>
      <c r="J581" s="17">
        <v>2022</v>
      </c>
      <c r="K581" s="17">
        <v>0.32328148499999998</v>
      </c>
    </row>
    <row r="582" spans="1:11" x14ac:dyDescent="0.2">
      <c r="A582" s="15" t="s">
        <v>193</v>
      </c>
      <c r="B582" s="15" t="s">
        <v>53</v>
      </c>
      <c r="C582" s="16">
        <v>44761</v>
      </c>
      <c r="D582" s="15">
        <v>57000000</v>
      </c>
      <c r="E582" s="15" t="s">
        <v>192</v>
      </c>
      <c r="F582" s="15">
        <v>68457733</v>
      </c>
      <c r="G582" s="15" t="s">
        <v>517</v>
      </c>
      <c r="H582" s="15" t="s">
        <v>382</v>
      </c>
      <c r="I582" s="15" t="s">
        <v>518</v>
      </c>
      <c r="J582" s="15">
        <v>2022</v>
      </c>
      <c r="K582" s="15">
        <v>6.8457733000000007E-2</v>
      </c>
    </row>
    <row r="583" spans="1:11" x14ac:dyDescent="0.2">
      <c r="A583" s="17" t="s">
        <v>193</v>
      </c>
      <c r="B583" s="17" t="s">
        <v>53</v>
      </c>
      <c r="C583" s="18">
        <v>44670</v>
      </c>
      <c r="D583" s="17">
        <v>54000000</v>
      </c>
      <c r="E583" s="17" t="s">
        <v>192</v>
      </c>
      <c r="F583" s="17">
        <v>70322705</v>
      </c>
      <c r="G583" s="17" t="s">
        <v>517</v>
      </c>
      <c r="H583" s="17" t="s">
        <v>382</v>
      </c>
      <c r="I583" s="17" t="s">
        <v>518</v>
      </c>
      <c r="J583" s="17">
        <v>2022</v>
      </c>
      <c r="K583" s="17">
        <v>7.0322704999999999E-2</v>
      </c>
    </row>
    <row r="584" spans="1:11" x14ac:dyDescent="0.2">
      <c r="A584" s="15" t="s">
        <v>193</v>
      </c>
      <c r="B584" s="15" t="s">
        <v>53</v>
      </c>
      <c r="C584" s="16">
        <v>45203</v>
      </c>
      <c r="D584" s="15">
        <v>2250000000</v>
      </c>
      <c r="E584" s="15" t="s">
        <v>192</v>
      </c>
      <c r="F584" s="15">
        <v>2727702000</v>
      </c>
      <c r="G584" s="15" t="s">
        <v>517</v>
      </c>
      <c r="H584" s="15" t="s">
        <v>382</v>
      </c>
      <c r="I584" s="15" t="s">
        <v>518</v>
      </c>
      <c r="J584" s="15">
        <v>2023</v>
      </c>
      <c r="K584" s="15">
        <v>2.7277019999999998</v>
      </c>
    </row>
    <row r="585" spans="1:11" x14ac:dyDescent="0.2">
      <c r="A585" s="17" t="s">
        <v>193</v>
      </c>
      <c r="B585" s="17" t="s">
        <v>53</v>
      </c>
      <c r="C585" s="18">
        <v>45196</v>
      </c>
      <c r="D585" s="17">
        <v>3000000000</v>
      </c>
      <c r="E585" s="17" t="s">
        <v>192</v>
      </c>
      <c r="F585" s="17">
        <v>3640446000</v>
      </c>
      <c r="G585" s="17" t="s">
        <v>517</v>
      </c>
      <c r="H585" s="17" t="s">
        <v>382</v>
      </c>
      <c r="I585" s="17" t="s">
        <v>518</v>
      </c>
      <c r="J585" s="17">
        <v>2023</v>
      </c>
      <c r="K585" s="17">
        <v>3.6404459999999998</v>
      </c>
    </row>
    <row r="586" spans="1:11" x14ac:dyDescent="0.2">
      <c r="A586" s="15" t="s">
        <v>193</v>
      </c>
      <c r="B586" s="15" t="s">
        <v>53</v>
      </c>
      <c r="C586" s="16">
        <v>44491</v>
      </c>
      <c r="D586" s="15">
        <v>6000000000</v>
      </c>
      <c r="E586" s="15" t="s">
        <v>192</v>
      </c>
      <c r="F586" s="15">
        <v>8270712339</v>
      </c>
      <c r="G586" s="15" t="s">
        <v>517</v>
      </c>
      <c r="H586" s="15" t="s">
        <v>382</v>
      </c>
      <c r="I586" s="15" t="s">
        <v>518</v>
      </c>
      <c r="J586" s="15">
        <v>2021</v>
      </c>
      <c r="K586" s="15">
        <v>8.2707123389999992</v>
      </c>
    </row>
    <row r="587" spans="1:11" x14ac:dyDescent="0.2">
      <c r="A587" s="17" t="s">
        <v>193</v>
      </c>
      <c r="B587" s="17" t="s">
        <v>53</v>
      </c>
      <c r="C587" s="18">
        <v>44461</v>
      </c>
      <c r="D587" s="17">
        <v>10000000000</v>
      </c>
      <c r="E587" s="17" t="s">
        <v>192</v>
      </c>
      <c r="F587" s="17">
        <v>13638372093</v>
      </c>
      <c r="G587" s="17" t="s">
        <v>517</v>
      </c>
      <c r="H587" s="17" t="s">
        <v>382</v>
      </c>
      <c r="I587" s="17" t="s">
        <v>518</v>
      </c>
      <c r="J587" s="17">
        <v>2021</v>
      </c>
      <c r="K587" s="17">
        <v>13.638372092999999</v>
      </c>
    </row>
    <row r="588" spans="1:11" x14ac:dyDescent="0.2">
      <c r="A588" s="15" t="s">
        <v>519</v>
      </c>
      <c r="B588" s="15" t="s">
        <v>53</v>
      </c>
      <c r="C588" s="16">
        <v>45054</v>
      </c>
      <c r="D588" s="15">
        <v>1911000000</v>
      </c>
      <c r="E588" s="15" t="s">
        <v>54</v>
      </c>
      <c r="F588" s="15">
        <v>2112816888</v>
      </c>
      <c r="G588" s="15" t="s">
        <v>138</v>
      </c>
      <c r="H588" s="15" t="s">
        <v>382</v>
      </c>
      <c r="I588" s="15" t="s">
        <v>520</v>
      </c>
      <c r="J588" s="15">
        <v>2023</v>
      </c>
      <c r="K588" s="15">
        <v>2.1128168879999998</v>
      </c>
    </row>
    <row r="589" spans="1:11" x14ac:dyDescent="0.2">
      <c r="A589" s="17" t="s">
        <v>519</v>
      </c>
      <c r="B589" s="17" t="s">
        <v>53</v>
      </c>
      <c r="C589" s="18">
        <v>44014</v>
      </c>
      <c r="D589" s="17">
        <v>2109000000</v>
      </c>
      <c r="E589" s="17" t="s">
        <v>54</v>
      </c>
      <c r="F589" s="17">
        <v>2380217400</v>
      </c>
      <c r="G589" s="17" t="s">
        <v>138</v>
      </c>
      <c r="H589" s="17" t="s">
        <v>382</v>
      </c>
      <c r="I589" s="17" t="s">
        <v>520</v>
      </c>
      <c r="J589" s="17">
        <v>2020</v>
      </c>
      <c r="K589" s="17">
        <v>2.3802173999999998</v>
      </c>
    </row>
    <row r="590" spans="1:11" x14ac:dyDescent="0.2">
      <c r="A590" s="15" t="s">
        <v>519</v>
      </c>
      <c r="B590" s="15" t="s">
        <v>53</v>
      </c>
      <c r="C590" s="16">
        <v>43871</v>
      </c>
      <c r="D590" s="15">
        <v>1982000000</v>
      </c>
      <c r="E590" s="15" t="s">
        <v>54</v>
      </c>
      <c r="F590" s="15">
        <v>2170488200</v>
      </c>
      <c r="G590" s="15" t="s">
        <v>138</v>
      </c>
      <c r="H590" s="15" t="s">
        <v>382</v>
      </c>
      <c r="I590" s="15" t="s">
        <v>520</v>
      </c>
      <c r="J590" s="15">
        <v>2020</v>
      </c>
      <c r="K590" s="15">
        <v>2.1704881999999999</v>
      </c>
    </row>
    <row r="591" spans="1:11" x14ac:dyDescent="0.2">
      <c r="A591" s="17" t="s">
        <v>519</v>
      </c>
      <c r="B591" s="17" t="s">
        <v>53</v>
      </c>
      <c r="C591" s="18">
        <v>43591</v>
      </c>
      <c r="D591" s="17">
        <v>2471000000</v>
      </c>
      <c r="E591" s="17" t="s">
        <v>54</v>
      </c>
      <c r="F591" s="17">
        <v>2767272899</v>
      </c>
      <c r="G591" s="17" t="s">
        <v>138</v>
      </c>
      <c r="H591" s="17" t="s">
        <v>382</v>
      </c>
      <c r="I591" s="17" t="s">
        <v>520</v>
      </c>
      <c r="J591" s="17">
        <v>2019</v>
      </c>
      <c r="K591" s="17">
        <v>2.767272899</v>
      </c>
    </row>
    <row r="592" spans="1:11" x14ac:dyDescent="0.2">
      <c r="A592" s="15" t="s">
        <v>519</v>
      </c>
      <c r="B592" s="15" t="s">
        <v>53</v>
      </c>
      <c r="C592" s="16">
        <v>43507</v>
      </c>
      <c r="D592" s="15">
        <v>1737000000</v>
      </c>
      <c r="E592" s="15" t="s">
        <v>54</v>
      </c>
      <c r="F592" s="15">
        <v>1958641200</v>
      </c>
      <c r="G592" s="15" t="s">
        <v>138</v>
      </c>
      <c r="H592" s="15" t="s">
        <v>382</v>
      </c>
      <c r="I592" s="15" t="s">
        <v>520</v>
      </c>
      <c r="J592" s="15">
        <v>2019</v>
      </c>
      <c r="K592" s="15">
        <v>1.9586412</v>
      </c>
    </row>
    <row r="593" spans="1:11" x14ac:dyDescent="0.2">
      <c r="A593" s="17" t="s">
        <v>519</v>
      </c>
      <c r="B593" s="17" t="s">
        <v>53</v>
      </c>
      <c r="C593" s="18">
        <v>43199</v>
      </c>
      <c r="D593" s="17">
        <v>1096000000</v>
      </c>
      <c r="E593" s="17" t="s">
        <v>54</v>
      </c>
      <c r="F593" s="17">
        <v>1344682400</v>
      </c>
      <c r="G593" s="17" t="s">
        <v>138</v>
      </c>
      <c r="H593" s="17" t="s">
        <v>382</v>
      </c>
      <c r="I593" s="17" t="s">
        <v>520</v>
      </c>
      <c r="J593" s="17">
        <v>2018</v>
      </c>
      <c r="K593" s="17">
        <v>1.3446823999999999</v>
      </c>
    </row>
    <row r="594" spans="1:11" x14ac:dyDescent="0.2">
      <c r="A594" s="15" t="s">
        <v>519</v>
      </c>
      <c r="B594" s="15" t="s">
        <v>53</v>
      </c>
      <c r="C594" s="16">
        <v>43080</v>
      </c>
      <c r="D594" s="15">
        <v>1065000000</v>
      </c>
      <c r="E594" s="15" t="s">
        <v>54</v>
      </c>
      <c r="F594" s="15">
        <v>1254250500</v>
      </c>
      <c r="G594" s="15" t="s">
        <v>138</v>
      </c>
      <c r="H594" s="15" t="s">
        <v>382</v>
      </c>
      <c r="I594" s="15" t="s">
        <v>520</v>
      </c>
      <c r="J594" s="15">
        <v>2017</v>
      </c>
      <c r="K594" s="15">
        <v>1.2542504999999999</v>
      </c>
    </row>
    <row r="595" spans="1:11" x14ac:dyDescent="0.2">
      <c r="A595" s="17" t="s">
        <v>519</v>
      </c>
      <c r="B595" s="17" t="s">
        <v>53</v>
      </c>
      <c r="C595" s="18">
        <v>42766</v>
      </c>
      <c r="D595" s="17">
        <v>7000000000</v>
      </c>
      <c r="E595" s="17" t="s">
        <v>54</v>
      </c>
      <c r="F595" s="17">
        <v>7558600000</v>
      </c>
      <c r="G595" s="17" t="s">
        <v>138</v>
      </c>
      <c r="H595" s="17" t="s">
        <v>382</v>
      </c>
      <c r="I595" s="17" t="s">
        <v>520</v>
      </c>
      <c r="J595" s="17">
        <v>2017</v>
      </c>
      <c r="K595" s="17">
        <v>7.5586000000000002</v>
      </c>
    </row>
    <row r="596" spans="1:11" x14ac:dyDescent="0.2">
      <c r="A596" s="15" t="s">
        <v>519</v>
      </c>
      <c r="B596" s="15" t="s">
        <v>53</v>
      </c>
      <c r="C596" s="16">
        <v>44963</v>
      </c>
      <c r="D596" s="15">
        <v>2772000000</v>
      </c>
      <c r="E596" s="15" t="s">
        <v>54</v>
      </c>
      <c r="F596" s="15">
        <v>2974175820</v>
      </c>
      <c r="G596" s="15" t="s">
        <v>138</v>
      </c>
      <c r="H596" s="15" t="s">
        <v>382</v>
      </c>
      <c r="I596" s="15" t="s">
        <v>520</v>
      </c>
      <c r="J596" s="15">
        <v>2023</v>
      </c>
      <c r="K596" s="15">
        <v>2.9741758200000001</v>
      </c>
    </row>
    <row r="597" spans="1:11" x14ac:dyDescent="0.2">
      <c r="A597" s="17" t="s">
        <v>519</v>
      </c>
      <c r="B597" s="17" t="s">
        <v>53</v>
      </c>
      <c r="C597" s="18">
        <v>44354</v>
      </c>
      <c r="D597" s="17">
        <v>2280000000</v>
      </c>
      <c r="E597" s="17" t="s">
        <v>54</v>
      </c>
      <c r="F597" s="17">
        <v>2773665600</v>
      </c>
      <c r="G597" s="17" t="s">
        <v>138</v>
      </c>
      <c r="H597" s="17" t="s">
        <v>382</v>
      </c>
      <c r="I597" s="17" t="s">
        <v>520</v>
      </c>
      <c r="J597" s="17">
        <v>2021</v>
      </c>
      <c r="K597" s="17">
        <v>2.7736656000000002</v>
      </c>
    </row>
    <row r="598" spans="1:11" x14ac:dyDescent="0.2">
      <c r="A598" s="15" t="s">
        <v>519</v>
      </c>
      <c r="B598" s="15" t="s">
        <v>53</v>
      </c>
      <c r="C598" s="16">
        <v>44278</v>
      </c>
      <c r="D598" s="15">
        <v>7000000000</v>
      </c>
      <c r="E598" s="15" t="s">
        <v>54</v>
      </c>
      <c r="F598" s="15">
        <v>8318099999</v>
      </c>
      <c r="G598" s="15" t="s">
        <v>138</v>
      </c>
      <c r="H598" s="15" t="s">
        <v>382</v>
      </c>
      <c r="I598" s="15" t="s">
        <v>520</v>
      </c>
      <c r="J598" s="15">
        <v>2021</v>
      </c>
      <c r="K598" s="15">
        <v>8.3180999989999993</v>
      </c>
    </row>
    <row r="599" spans="1:11" x14ac:dyDescent="0.2">
      <c r="A599" s="17" t="s">
        <v>519</v>
      </c>
      <c r="B599" s="17" t="s">
        <v>53</v>
      </c>
      <c r="C599" s="18">
        <v>44235</v>
      </c>
      <c r="D599" s="17">
        <v>1499000000</v>
      </c>
      <c r="E599" s="17" t="s">
        <v>54</v>
      </c>
      <c r="F599" s="17">
        <v>1802547500</v>
      </c>
      <c r="G599" s="17" t="s">
        <v>138</v>
      </c>
      <c r="H599" s="17" t="s">
        <v>382</v>
      </c>
      <c r="I599" s="17" t="s">
        <v>520</v>
      </c>
      <c r="J599" s="17">
        <v>2021</v>
      </c>
      <c r="K599" s="17">
        <v>1.8025475</v>
      </c>
    </row>
    <row r="600" spans="1:11" x14ac:dyDescent="0.2">
      <c r="A600" s="15" t="s">
        <v>519</v>
      </c>
      <c r="B600" s="15" t="s">
        <v>53</v>
      </c>
      <c r="C600" s="16">
        <v>43927</v>
      </c>
      <c r="D600" s="15">
        <v>2607000000</v>
      </c>
      <c r="E600" s="15" t="s">
        <v>54</v>
      </c>
      <c r="F600" s="15">
        <v>2813213700</v>
      </c>
      <c r="G600" s="15" t="s">
        <v>138</v>
      </c>
      <c r="H600" s="15" t="s">
        <v>382</v>
      </c>
      <c r="I600" s="15" t="s">
        <v>520</v>
      </c>
      <c r="J600" s="15">
        <v>2020</v>
      </c>
      <c r="K600" s="15">
        <v>2.8132136999999999</v>
      </c>
    </row>
    <row r="601" spans="1:11" x14ac:dyDescent="0.2">
      <c r="A601" s="17" t="s">
        <v>519</v>
      </c>
      <c r="B601" s="17" t="s">
        <v>53</v>
      </c>
      <c r="C601" s="18">
        <v>43717</v>
      </c>
      <c r="D601" s="17">
        <v>1676000000</v>
      </c>
      <c r="E601" s="17" t="s">
        <v>54</v>
      </c>
      <c r="F601" s="17">
        <v>1847438040</v>
      </c>
      <c r="G601" s="17" t="s">
        <v>138</v>
      </c>
      <c r="H601" s="17" t="s">
        <v>382</v>
      </c>
      <c r="I601" s="17" t="s">
        <v>520</v>
      </c>
      <c r="J601" s="17">
        <v>2019</v>
      </c>
      <c r="K601" s="17">
        <v>1.8474380399999999</v>
      </c>
    </row>
    <row r="602" spans="1:11" x14ac:dyDescent="0.2">
      <c r="A602" s="15" t="s">
        <v>519</v>
      </c>
      <c r="B602" s="15" t="s">
        <v>53</v>
      </c>
      <c r="C602" s="16">
        <v>42891</v>
      </c>
      <c r="D602" s="15">
        <v>1632000000</v>
      </c>
      <c r="E602" s="15" t="s">
        <v>54</v>
      </c>
      <c r="F602" s="15">
        <v>1922006400</v>
      </c>
      <c r="G602" s="15" t="s">
        <v>138</v>
      </c>
      <c r="H602" s="15" t="s">
        <v>382</v>
      </c>
      <c r="I602" s="15" t="s">
        <v>520</v>
      </c>
      <c r="J602" s="15">
        <v>2017</v>
      </c>
      <c r="K602" s="15">
        <v>1.9220063999999999</v>
      </c>
    </row>
    <row r="603" spans="1:11" x14ac:dyDescent="0.2">
      <c r="A603" s="17" t="s">
        <v>519</v>
      </c>
      <c r="B603" s="17" t="s">
        <v>53</v>
      </c>
      <c r="C603" s="18">
        <v>45314</v>
      </c>
      <c r="D603" s="17">
        <v>8000000000</v>
      </c>
      <c r="E603" s="17" t="s">
        <v>54</v>
      </c>
      <c r="F603" s="17">
        <v>8709832000</v>
      </c>
      <c r="G603" s="17" t="s">
        <v>138</v>
      </c>
      <c r="H603" s="17" t="s">
        <v>382</v>
      </c>
      <c r="I603" s="17" t="s">
        <v>520</v>
      </c>
      <c r="J603" s="17">
        <v>2024</v>
      </c>
      <c r="K603" s="17">
        <v>8.7098320000000005</v>
      </c>
    </row>
    <row r="604" spans="1:11" x14ac:dyDescent="0.2">
      <c r="A604" s="15" t="s">
        <v>519</v>
      </c>
      <c r="B604" s="15" t="s">
        <v>53</v>
      </c>
      <c r="C604" s="16">
        <v>44823</v>
      </c>
      <c r="D604" s="15">
        <v>549000000</v>
      </c>
      <c r="E604" s="15" t="s">
        <v>54</v>
      </c>
      <c r="F604" s="15">
        <v>548451000</v>
      </c>
      <c r="G604" s="15" t="s">
        <v>138</v>
      </c>
      <c r="H604" s="15" t="s">
        <v>382</v>
      </c>
      <c r="I604" s="15" t="s">
        <v>520</v>
      </c>
      <c r="J604" s="15">
        <v>2022</v>
      </c>
      <c r="K604" s="15">
        <v>0.54845100000000002</v>
      </c>
    </row>
    <row r="605" spans="1:11" x14ac:dyDescent="0.2">
      <c r="A605" s="17" t="s">
        <v>519</v>
      </c>
      <c r="B605" s="17" t="s">
        <v>53</v>
      </c>
      <c r="C605" s="18">
        <v>44753</v>
      </c>
      <c r="D605" s="17">
        <v>2312000000</v>
      </c>
      <c r="E605" s="17" t="s">
        <v>54</v>
      </c>
      <c r="F605" s="17">
        <v>2334657600</v>
      </c>
      <c r="G605" s="17" t="s">
        <v>138</v>
      </c>
      <c r="H605" s="17" t="s">
        <v>382</v>
      </c>
      <c r="I605" s="17" t="s">
        <v>520</v>
      </c>
      <c r="J605" s="17">
        <v>2022</v>
      </c>
      <c r="K605" s="17">
        <v>2.3346575999999999</v>
      </c>
    </row>
    <row r="606" spans="1:11" x14ac:dyDescent="0.2">
      <c r="A606" s="15" t="s">
        <v>519</v>
      </c>
      <c r="B606" s="15" t="s">
        <v>53</v>
      </c>
      <c r="C606" s="16">
        <v>44713</v>
      </c>
      <c r="D606" s="15">
        <v>4000000000</v>
      </c>
      <c r="E606" s="15" t="s">
        <v>54</v>
      </c>
      <c r="F606" s="15">
        <v>4285200000</v>
      </c>
      <c r="G606" s="15" t="s">
        <v>138</v>
      </c>
      <c r="H606" s="15" t="s">
        <v>382</v>
      </c>
      <c r="I606" s="15" t="s">
        <v>520</v>
      </c>
      <c r="J606" s="15">
        <v>2022</v>
      </c>
      <c r="K606" s="15">
        <v>4.2851999999999997</v>
      </c>
    </row>
    <row r="607" spans="1:11" x14ac:dyDescent="0.2">
      <c r="A607" s="17" t="s">
        <v>519</v>
      </c>
      <c r="B607" s="17" t="s">
        <v>53</v>
      </c>
      <c r="C607" s="18">
        <v>45040</v>
      </c>
      <c r="D607" s="17">
        <v>702000000</v>
      </c>
      <c r="E607" s="17" t="s">
        <v>54</v>
      </c>
      <c r="F607" s="17">
        <v>768859884</v>
      </c>
      <c r="G607" s="17" t="s">
        <v>138</v>
      </c>
      <c r="H607" s="17" t="s">
        <v>382</v>
      </c>
      <c r="I607" s="17" t="s">
        <v>520</v>
      </c>
      <c r="J607" s="17">
        <v>2023</v>
      </c>
      <c r="K607" s="17">
        <v>0.76885988400000005</v>
      </c>
    </row>
    <row r="608" spans="1:11" x14ac:dyDescent="0.2">
      <c r="A608" s="15" t="s">
        <v>519</v>
      </c>
      <c r="B608" s="15" t="s">
        <v>53</v>
      </c>
      <c r="C608" s="16">
        <v>45159</v>
      </c>
      <c r="D608" s="15">
        <v>481000000</v>
      </c>
      <c r="E608" s="15" t="s">
        <v>54</v>
      </c>
      <c r="F608" s="15">
        <v>524191395</v>
      </c>
      <c r="G608" s="15" t="s">
        <v>138</v>
      </c>
      <c r="H608" s="15" t="s">
        <v>382</v>
      </c>
      <c r="I608" s="15" t="s">
        <v>520</v>
      </c>
      <c r="J608" s="15">
        <v>2023</v>
      </c>
      <c r="K608" s="15">
        <v>0.524191395</v>
      </c>
    </row>
    <row r="609" spans="1:11" x14ac:dyDescent="0.2">
      <c r="A609" s="17" t="s">
        <v>519</v>
      </c>
      <c r="B609" s="17" t="s">
        <v>53</v>
      </c>
      <c r="C609" s="18">
        <v>44977</v>
      </c>
      <c r="D609" s="17">
        <v>492000000</v>
      </c>
      <c r="E609" s="17" t="s">
        <v>54</v>
      </c>
      <c r="F609" s="17">
        <v>525612948</v>
      </c>
      <c r="G609" s="17" t="s">
        <v>138</v>
      </c>
      <c r="H609" s="17" t="s">
        <v>382</v>
      </c>
      <c r="I609" s="17" t="s">
        <v>520</v>
      </c>
      <c r="J609" s="17">
        <v>2023</v>
      </c>
      <c r="K609" s="17">
        <v>0.52561294800000002</v>
      </c>
    </row>
    <row r="610" spans="1:11" x14ac:dyDescent="0.2">
      <c r="A610" s="15" t="s">
        <v>519</v>
      </c>
      <c r="B610" s="15" t="s">
        <v>53</v>
      </c>
      <c r="C610" s="16">
        <v>45194</v>
      </c>
      <c r="D610" s="15">
        <v>488000000</v>
      </c>
      <c r="E610" s="15" t="s">
        <v>54</v>
      </c>
      <c r="F610" s="15">
        <v>518917240</v>
      </c>
      <c r="G610" s="15" t="s">
        <v>138</v>
      </c>
      <c r="H610" s="15" t="s">
        <v>382</v>
      </c>
      <c r="I610" s="15" t="s">
        <v>520</v>
      </c>
      <c r="J610" s="15">
        <v>2023</v>
      </c>
      <c r="K610" s="15">
        <v>0.51891723999999995</v>
      </c>
    </row>
    <row r="611" spans="1:11" x14ac:dyDescent="0.2">
      <c r="A611" s="17" t="s">
        <v>519</v>
      </c>
      <c r="B611" s="17" t="s">
        <v>53</v>
      </c>
      <c r="C611" s="18">
        <v>45313</v>
      </c>
      <c r="D611" s="17">
        <v>378000000</v>
      </c>
      <c r="E611" s="17" t="s">
        <v>54</v>
      </c>
      <c r="F611" s="17">
        <v>411160050</v>
      </c>
      <c r="G611" s="17" t="s">
        <v>138</v>
      </c>
      <c r="H611" s="17" t="s">
        <v>382</v>
      </c>
      <c r="I611" s="17" t="s">
        <v>520</v>
      </c>
      <c r="J611" s="17">
        <v>2024</v>
      </c>
      <c r="K611" s="17">
        <v>0.41116005</v>
      </c>
    </row>
    <row r="612" spans="1:11" x14ac:dyDescent="0.2">
      <c r="A612" s="15" t="s">
        <v>519</v>
      </c>
      <c r="B612" s="15" t="s">
        <v>53</v>
      </c>
      <c r="C612" s="16">
        <v>44599</v>
      </c>
      <c r="D612" s="15">
        <v>2784000000</v>
      </c>
      <c r="E612" s="15" t="s">
        <v>54</v>
      </c>
      <c r="F612" s="15">
        <v>3186844800</v>
      </c>
      <c r="G612" s="15" t="s">
        <v>138</v>
      </c>
      <c r="H612" s="15" t="s">
        <v>382</v>
      </c>
      <c r="I612" s="15" t="s">
        <v>520</v>
      </c>
      <c r="J612" s="15">
        <v>2022</v>
      </c>
      <c r="K612" s="15">
        <v>3.1868447999999998</v>
      </c>
    </row>
    <row r="613" spans="1:11" x14ac:dyDescent="0.2">
      <c r="A613" s="17" t="s">
        <v>519</v>
      </c>
      <c r="B613" s="17" t="s">
        <v>53</v>
      </c>
      <c r="C613" s="18">
        <v>45236</v>
      </c>
      <c r="D613" s="17">
        <v>3037000000</v>
      </c>
      <c r="E613" s="17" t="s">
        <v>54</v>
      </c>
      <c r="F613" s="17">
        <v>3255615408</v>
      </c>
      <c r="G613" s="17" t="s">
        <v>138</v>
      </c>
      <c r="H613" s="17" t="s">
        <v>382</v>
      </c>
      <c r="I613" s="17" t="s">
        <v>520</v>
      </c>
      <c r="J613" s="17">
        <v>2023</v>
      </c>
      <c r="K613" s="17">
        <v>3.2556154080000002</v>
      </c>
    </row>
    <row r="614" spans="1:11" x14ac:dyDescent="0.2">
      <c r="A614" s="15" t="s">
        <v>519</v>
      </c>
      <c r="B614" s="15" t="s">
        <v>53</v>
      </c>
      <c r="C614" s="16">
        <v>44444</v>
      </c>
      <c r="D614" s="15">
        <v>2122000000</v>
      </c>
      <c r="E614" s="15" t="s">
        <v>54</v>
      </c>
      <c r="F614" s="15">
        <v>2518106667</v>
      </c>
      <c r="G614" s="15" t="s">
        <v>138</v>
      </c>
      <c r="H614" s="15" t="s">
        <v>382</v>
      </c>
      <c r="I614" s="15" t="s">
        <v>520</v>
      </c>
      <c r="J614" s="15">
        <v>2021</v>
      </c>
      <c r="K614" s="15">
        <v>2.5181066670000001</v>
      </c>
    </row>
    <row r="615" spans="1:11" x14ac:dyDescent="0.2">
      <c r="A615" s="17" t="s">
        <v>519</v>
      </c>
      <c r="B615" s="17" t="s">
        <v>53</v>
      </c>
      <c r="C615" s="18">
        <v>44508</v>
      </c>
      <c r="D615" s="17">
        <v>2067000000</v>
      </c>
      <c r="E615" s="17" t="s">
        <v>54</v>
      </c>
      <c r="F615" s="17">
        <v>2393379300</v>
      </c>
      <c r="G615" s="17" t="s">
        <v>138</v>
      </c>
      <c r="H615" s="17" t="s">
        <v>382</v>
      </c>
      <c r="I615" s="17" t="s">
        <v>520</v>
      </c>
      <c r="J615" s="17">
        <v>2021</v>
      </c>
      <c r="K615" s="17">
        <v>2.3933792999999999</v>
      </c>
    </row>
    <row r="616" spans="1:11" x14ac:dyDescent="0.2">
      <c r="A616" s="15" t="s">
        <v>519</v>
      </c>
      <c r="B616" s="15" t="s">
        <v>53</v>
      </c>
      <c r="C616" s="16">
        <v>43284</v>
      </c>
      <c r="D616" s="15">
        <v>4000000000</v>
      </c>
      <c r="E616" s="15" t="s">
        <v>54</v>
      </c>
      <c r="F616" s="15">
        <v>4663600000</v>
      </c>
      <c r="G616" s="15" t="s">
        <v>138</v>
      </c>
      <c r="H616" s="15" t="s">
        <v>382</v>
      </c>
      <c r="I616" s="15" t="s">
        <v>520</v>
      </c>
      <c r="J616" s="15">
        <v>2018</v>
      </c>
      <c r="K616" s="15">
        <v>4.6635999999999997</v>
      </c>
    </row>
    <row r="617" spans="1:11" x14ac:dyDescent="0.2">
      <c r="A617" s="17" t="s">
        <v>521</v>
      </c>
      <c r="B617" s="17" t="s">
        <v>68</v>
      </c>
      <c r="C617" s="18">
        <v>45238</v>
      </c>
      <c r="D617" s="17">
        <v>15000000</v>
      </c>
      <c r="E617" s="17" t="s">
        <v>59</v>
      </c>
      <c r="F617" s="17">
        <v>15000000</v>
      </c>
      <c r="G617" s="17" t="s">
        <v>522</v>
      </c>
      <c r="H617" s="17" t="s">
        <v>382</v>
      </c>
      <c r="I617" s="17" t="s">
        <v>523</v>
      </c>
      <c r="J617" s="17">
        <v>2023</v>
      </c>
      <c r="K617" s="17">
        <v>1.4999999999999999E-2</v>
      </c>
    </row>
    <row r="618" spans="1:11" x14ac:dyDescent="0.2">
      <c r="A618" s="15" t="s">
        <v>521</v>
      </c>
      <c r="B618" s="15" t="s">
        <v>68</v>
      </c>
      <c r="C618" s="16">
        <v>45238</v>
      </c>
      <c r="D618" s="15">
        <v>5000000</v>
      </c>
      <c r="E618" s="15" t="s">
        <v>59</v>
      </c>
      <c r="F618" s="15">
        <v>5000000</v>
      </c>
      <c r="G618" s="15" t="s">
        <v>522</v>
      </c>
      <c r="H618" s="15" t="s">
        <v>382</v>
      </c>
      <c r="I618" s="15" t="s">
        <v>523</v>
      </c>
      <c r="J618" s="15">
        <v>2023</v>
      </c>
      <c r="K618" s="15">
        <v>5.0000000000000001E-3</v>
      </c>
    </row>
    <row r="619" spans="1:11" x14ac:dyDescent="0.2">
      <c r="A619" s="17" t="s">
        <v>524</v>
      </c>
      <c r="B619" s="17" t="s">
        <v>53</v>
      </c>
      <c r="C619" s="18">
        <v>43271</v>
      </c>
      <c r="D619" s="17">
        <v>26620000</v>
      </c>
      <c r="E619" s="17" t="s">
        <v>525</v>
      </c>
      <c r="F619" s="17">
        <v>12677242</v>
      </c>
      <c r="G619" s="17" t="s">
        <v>522</v>
      </c>
      <c r="H619" s="17" t="s">
        <v>382</v>
      </c>
      <c r="I619" s="17" t="s">
        <v>526</v>
      </c>
      <c r="J619" s="17">
        <v>2018</v>
      </c>
      <c r="K619" s="17">
        <v>1.2677242E-2</v>
      </c>
    </row>
    <row r="620" spans="1:11" x14ac:dyDescent="0.2">
      <c r="A620" s="15" t="s">
        <v>524</v>
      </c>
      <c r="B620" s="15" t="s">
        <v>53</v>
      </c>
      <c r="C620" s="16">
        <v>43097</v>
      </c>
      <c r="D620" s="15">
        <v>20000000</v>
      </c>
      <c r="E620" s="15" t="s">
        <v>525</v>
      </c>
      <c r="F620" s="15">
        <v>9601400</v>
      </c>
      <c r="G620" s="15" t="s">
        <v>522</v>
      </c>
      <c r="H620" s="15" t="s">
        <v>382</v>
      </c>
      <c r="I620" s="15" t="s">
        <v>526</v>
      </c>
      <c r="J620" s="15">
        <v>2017</v>
      </c>
      <c r="K620" s="15">
        <v>9.6013999999999995E-3</v>
      </c>
    </row>
    <row r="621" spans="1:11" x14ac:dyDescent="0.2">
      <c r="A621" s="17" t="s">
        <v>524</v>
      </c>
      <c r="B621" s="17" t="s">
        <v>53</v>
      </c>
      <c r="C621" s="18">
        <v>43040</v>
      </c>
      <c r="D621" s="17">
        <v>20000000</v>
      </c>
      <c r="E621" s="17" t="s">
        <v>525</v>
      </c>
      <c r="F621" s="17">
        <v>9545200</v>
      </c>
      <c r="G621" s="17" t="s">
        <v>522</v>
      </c>
      <c r="H621" s="17" t="s">
        <v>382</v>
      </c>
      <c r="I621" s="17" t="s">
        <v>526</v>
      </c>
      <c r="J621" s="17">
        <v>2017</v>
      </c>
      <c r="K621" s="17">
        <v>9.5452000000000002E-3</v>
      </c>
    </row>
    <row r="622" spans="1:11" x14ac:dyDescent="0.2">
      <c r="A622" s="15" t="s">
        <v>524</v>
      </c>
      <c r="B622" s="15" t="s">
        <v>53</v>
      </c>
      <c r="C622" s="16">
        <v>43040</v>
      </c>
      <c r="D622" s="15">
        <v>20000000</v>
      </c>
      <c r="E622" s="15" t="s">
        <v>525</v>
      </c>
      <c r="F622" s="15">
        <v>9545200</v>
      </c>
      <c r="G622" s="15" t="s">
        <v>522</v>
      </c>
      <c r="H622" s="15" t="s">
        <v>382</v>
      </c>
      <c r="I622" s="15" t="s">
        <v>526</v>
      </c>
      <c r="J622" s="15">
        <v>2017</v>
      </c>
      <c r="K622" s="15">
        <v>9.5452000000000002E-3</v>
      </c>
    </row>
    <row r="623" spans="1:11" x14ac:dyDescent="0.2">
      <c r="A623" s="17" t="s">
        <v>524</v>
      </c>
      <c r="B623" s="17" t="s">
        <v>53</v>
      </c>
      <c r="C623" s="18">
        <v>43299</v>
      </c>
      <c r="D623" s="17">
        <v>13380000</v>
      </c>
      <c r="E623" s="17" t="s">
        <v>525</v>
      </c>
      <c r="F623" s="17">
        <v>6357507</v>
      </c>
      <c r="G623" s="17" t="s">
        <v>522</v>
      </c>
      <c r="H623" s="17" t="s">
        <v>382</v>
      </c>
      <c r="I623" s="17" t="s">
        <v>526</v>
      </c>
      <c r="J623" s="17">
        <v>2018</v>
      </c>
      <c r="K623" s="17">
        <v>6.3575070000000001E-3</v>
      </c>
    </row>
    <row r="624" spans="1:11" x14ac:dyDescent="0.2">
      <c r="A624" s="15" t="s">
        <v>527</v>
      </c>
      <c r="B624" s="15" t="s">
        <v>53</v>
      </c>
      <c r="C624" s="16">
        <v>44623</v>
      </c>
      <c r="D624" s="15">
        <v>1216110000</v>
      </c>
      <c r="E624" s="15" t="s">
        <v>54</v>
      </c>
      <c r="F624" s="15">
        <v>1345703546</v>
      </c>
      <c r="G624" s="15" t="s">
        <v>528</v>
      </c>
      <c r="H624" s="15" t="s">
        <v>382</v>
      </c>
      <c r="I624" s="15" t="s">
        <v>529</v>
      </c>
      <c r="J624" s="15">
        <v>2022</v>
      </c>
      <c r="K624" s="15">
        <v>1.345703546</v>
      </c>
    </row>
    <row r="625" spans="1:11" x14ac:dyDescent="0.2">
      <c r="A625" s="17" t="s">
        <v>527</v>
      </c>
      <c r="B625" s="17" t="s">
        <v>53</v>
      </c>
      <c r="C625" s="18">
        <v>44700</v>
      </c>
      <c r="D625" s="17">
        <v>1020090000</v>
      </c>
      <c r="E625" s="17" t="s">
        <v>54</v>
      </c>
      <c r="F625" s="17">
        <v>1073644725</v>
      </c>
      <c r="G625" s="17" t="s">
        <v>528</v>
      </c>
      <c r="H625" s="17" t="s">
        <v>382</v>
      </c>
      <c r="I625" s="17" t="s">
        <v>529</v>
      </c>
      <c r="J625" s="17">
        <v>2022</v>
      </c>
      <c r="K625" s="17">
        <v>1.0736447250000001</v>
      </c>
    </row>
    <row r="626" spans="1:11" x14ac:dyDescent="0.2">
      <c r="A626" s="15" t="s">
        <v>527</v>
      </c>
      <c r="B626" s="15" t="s">
        <v>53</v>
      </c>
      <c r="C626" s="16">
        <v>44868</v>
      </c>
      <c r="D626" s="15">
        <v>970910000</v>
      </c>
      <c r="E626" s="15" t="s">
        <v>54</v>
      </c>
      <c r="F626" s="15">
        <v>946606181</v>
      </c>
      <c r="G626" s="15" t="s">
        <v>528</v>
      </c>
      <c r="H626" s="15" t="s">
        <v>382</v>
      </c>
      <c r="I626" s="15" t="s">
        <v>529</v>
      </c>
      <c r="J626" s="15">
        <v>2022</v>
      </c>
      <c r="K626" s="15">
        <v>0.94660618100000005</v>
      </c>
    </row>
    <row r="627" spans="1:11" x14ac:dyDescent="0.2">
      <c r="A627" s="17" t="s">
        <v>527</v>
      </c>
      <c r="B627" s="17" t="s">
        <v>53</v>
      </c>
      <c r="C627" s="18">
        <v>45034</v>
      </c>
      <c r="D627" s="17">
        <v>1441230000</v>
      </c>
      <c r="E627" s="17" t="s">
        <v>54</v>
      </c>
      <c r="F627" s="17">
        <v>1581840722</v>
      </c>
      <c r="G627" s="17" t="s">
        <v>528</v>
      </c>
      <c r="H627" s="17" t="s">
        <v>382</v>
      </c>
      <c r="I627" s="17" t="s">
        <v>529</v>
      </c>
      <c r="J627" s="17">
        <v>2023</v>
      </c>
      <c r="K627" s="17">
        <v>1.5818407219999999</v>
      </c>
    </row>
    <row r="628" spans="1:11" x14ac:dyDescent="0.2">
      <c r="A628" s="15" t="s">
        <v>527</v>
      </c>
      <c r="B628" s="15" t="s">
        <v>53</v>
      </c>
      <c r="C628" s="16">
        <v>45209</v>
      </c>
      <c r="D628" s="15">
        <v>1924081000</v>
      </c>
      <c r="E628" s="15" t="s">
        <v>54</v>
      </c>
      <c r="F628" s="15">
        <v>2040372456</v>
      </c>
      <c r="G628" s="15" t="s">
        <v>528</v>
      </c>
      <c r="H628" s="15" t="s">
        <v>382</v>
      </c>
      <c r="I628" s="15" t="s">
        <v>529</v>
      </c>
      <c r="J628" s="15">
        <v>2023</v>
      </c>
      <c r="K628" s="15">
        <v>2.0403724560000001</v>
      </c>
    </row>
    <row r="629" spans="1:11" x14ac:dyDescent="0.2">
      <c r="A629" s="17" t="s">
        <v>527</v>
      </c>
      <c r="B629" s="17" t="s">
        <v>53</v>
      </c>
      <c r="C629" s="18">
        <v>44453</v>
      </c>
      <c r="D629" s="17">
        <v>5000000000</v>
      </c>
      <c r="E629" s="17" t="s">
        <v>54</v>
      </c>
      <c r="F629" s="17">
        <v>5907000000</v>
      </c>
      <c r="G629" s="17" t="s">
        <v>528</v>
      </c>
      <c r="H629" s="17" t="s">
        <v>382</v>
      </c>
      <c r="I629" s="17" t="s">
        <v>529</v>
      </c>
      <c r="J629" s="17">
        <v>2021</v>
      </c>
      <c r="K629" s="17">
        <v>5.907</v>
      </c>
    </row>
    <row r="630" spans="1:11" x14ac:dyDescent="0.2">
      <c r="A630" s="15" t="s">
        <v>530</v>
      </c>
      <c r="B630" s="15" t="s">
        <v>53</v>
      </c>
      <c r="C630" s="16">
        <v>44699</v>
      </c>
      <c r="D630" s="15">
        <v>2660000000</v>
      </c>
      <c r="E630" s="15" t="s">
        <v>531</v>
      </c>
      <c r="F630" s="15">
        <v>376129483</v>
      </c>
      <c r="G630" s="15" t="s">
        <v>532</v>
      </c>
      <c r="H630" s="15" t="s">
        <v>382</v>
      </c>
      <c r="I630" s="15" t="s">
        <v>533</v>
      </c>
      <c r="J630" s="15">
        <v>2022</v>
      </c>
      <c r="K630" s="15">
        <v>0.37612948299999999</v>
      </c>
    </row>
    <row r="631" spans="1:11" x14ac:dyDescent="0.2">
      <c r="A631" s="17" t="s">
        <v>530</v>
      </c>
      <c r="B631" s="17" t="s">
        <v>53</v>
      </c>
      <c r="C631" s="18">
        <v>44748</v>
      </c>
      <c r="D631" s="17">
        <v>2360000000</v>
      </c>
      <c r="E631" s="17" t="s">
        <v>531</v>
      </c>
      <c r="F631" s="17">
        <v>322805801</v>
      </c>
      <c r="G631" s="17" t="s">
        <v>532</v>
      </c>
      <c r="H631" s="17" t="s">
        <v>382</v>
      </c>
      <c r="I631" s="17" t="s">
        <v>533</v>
      </c>
      <c r="J631" s="17">
        <v>2022</v>
      </c>
      <c r="K631" s="17">
        <v>0.322805801</v>
      </c>
    </row>
    <row r="632" spans="1:11" x14ac:dyDescent="0.2">
      <c r="A632" s="15" t="s">
        <v>530</v>
      </c>
      <c r="B632" s="15" t="s">
        <v>53</v>
      </c>
      <c r="C632" s="16">
        <v>44582</v>
      </c>
      <c r="D632" s="15">
        <v>5005000000</v>
      </c>
      <c r="E632" s="15" t="s">
        <v>531</v>
      </c>
      <c r="F632" s="15">
        <v>762478367</v>
      </c>
      <c r="G632" s="15" t="s">
        <v>532</v>
      </c>
      <c r="H632" s="15" t="s">
        <v>382</v>
      </c>
      <c r="I632" s="15" t="s">
        <v>533</v>
      </c>
      <c r="J632" s="15">
        <v>2022</v>
      </c>
      <c r="K632" s="15">
        <v>0.76247836700000005</v>
      </c>
    </row>
    <row r="633" spans="1:11" x14ac:dyDescent="0.2">
      <c r="A633" s="17" t="s">
        <v>530</v>
      </c>
      <c r="B633" s="17" t="s">
        <v>53</v>
      </c>
      <c r="C633" s="18">
        <v>45202</v>
      </c>
      <c r="D633" s="17">
        <v>7750000000</v>
      </c>
      <c r="E633" s="17" t="s">
        <v>531</v>
      </c>
      <c r="F633" s="17">
        <v>1102135250</v>
      </c>
      <c r="G633" s="17" t="s">
        <v>532</v>
      </c>
      <c r="H633" s="17" t="s">
        <v>382</v>
      </c>
      <c r="I633" s="17" t="s">
        <v>533</v>
      </c>
      <c r="J633" s="17">
        <v>2023</v>
      </c>
      <c r="K633" s="17">
        <v>1.1021352499999999</v>
      </c>
    </row>
    <row r="634" spans="1:11" x14ac:dyDescent="0.2">
      <c r="A634" s="15" t="s">
        <v>530</v>
      </c>
      <c r="B634" s="15" t="s">
        <v>53</v>
      </c>
      <c r="C634" s="16">
        <v>45240</v>
      </c>
      <c r="D634" s="15">
        <v>2280000000</v>
      </c>
      <c r="E634" s="15" t="s">
        <v>531</v>
      </c>
      <c r="F634" s="15">
        <v>326703480</v>
      </c>
      <c r="G634" s="15" t="s">
        <v>532</v>
      </c>
      <c r="H634" s="15" t="s">
        <v>382</v>
      </c>
      <c r="I634" s="15" t="s">
        <v>533</v>
      </c>
      <c r="J634" s="15">
        <v>2023</v>
      </c>
      <c r="K634" s="15">
        <v>0.32670347999999999</v>
      </c>
    </row>
    <row r="635" spans="1:11" x14ac:dyDescent="0.2">
      <c r="A635" s="17" t="s">
        <v>530</v>
      </c>
      <c r="B635" s="17" t="s">
        <v>53</v>
      </c>
      <c r="C635" s="18">
        <v>45359</v>
      </c>
      <c r="D635" s="17">
        <v>2605000000</v>
      </c>
      <c r="E635" s="17" t="s">
        <v>531</v>
      </c>
      <c r="F635" s="17">
        <v>382278540</v>
      </c>
      <c r="G635" s="17" t="s">
        <v>532</v>
      </c>
      <c r="H635" s="17" t="s">
        <v>382</v>
      </c>
      <c r="I635" s="17" t="s">
        <v>533</v>
      </c>
      <c r="J635" s="17">
        <v>2024</v>
      </c>
      <c r="K635" s="17">
        <v>0.38227854</v>
      </c>
    </row>
    <row r="636" spans="1:11" x14ac:dyDescent="0.2">
      <c r="A636" s="15" t="s">
        <v>530</v>
      </c>
      <c r="B636" s="15" t="s">
        <v>53</v>
      </c>
      <c r="C636" s="16">
        <v>44853</v>
      </c>
      <c r="D636" s="15">
        <v>2950000000</v>
      </c>
      <c r="E636" s="15" t="s">
        <v>531</v>
      </c>
      <c r="F636" s="15">
        <v>387755075</v>
      </c>
      <c r="G636" s="15" t="s">
        <v>532</v>
      </c>
      <c r="H636" s="15" t="s">
        <v>382</v>
      </c>
      <c r="I636" s="15" t="s">
        <v>533</v>
      </c>
      <c r="J636" s="15">
        <v>2022</v>
      </c>
      <c r="K636" s="15">
        <v>0.387755075</v>
      </c>
    </row>
    <row r="637" spans="1:11" x14ac:dyDescent="0.2">
      <c r="A637" s="17" t="s">
        <v>530</v>
      </c>
      <c r="B637" s="17" t="s">
        <v>53</v>
      </c>
      <c r="C637" s="18">
        <v>44811</v>
      </c>
      <c r="D637" s="17">
        <v>1965000000</v>
      </c>
      <c r="E637" s="17" t="s">
        <v>531</v>
      </c>
      <c r="F637" s="17">
        <v>261198480</v>
      </c>
      <c r="G637" s="17" t="s">
        <v>532</v>
      </c>
      <c r="H637" s="17" t="s">
        <v>382</v>
      </c>
      <c r="I637" s="17" t="s">
        <v>533</v>
      </c>
      <c r="J637" s="17">
        <v>2022</v>
      </c>
      <c r="K637" s="17">
        <v>0.26119848000000001</v>
      </c>
    </row>
    <row r="638" spans="1:11" x14ac:dyDescent="0.2">
      <c r="A638" s="15" t="s">
        <v>530</v>
      </c>
      <c r="B638" s="15" t="s">
        <v>53</v>
      </c>
      <c r="C638" s="16">
        <v>44636</v>
      </c>
      <c r="D638" s="15">
        <v>1300000000</v>
      </c>
      <c r="E638" s="15" t="s">
        <v>531</v>
      </c>
      <c r="F638" s="15">
        <v>192068484</v>
      </c>
      <c r="G638" s="15" t="s">
        <v>532</v>
      </c>
      <c r="H638" s="15" t="s">
        <v>382</v>
      </c>
      <c r="I638" s="15" t="s">
        <v>533</v>
      </c>
      <c r="J638" s="15">
        <v>2022</v>
      </c>
      <c r="K638" s="15">
        <v>0.19206848400000001</v>
      </c>
    </row>
    <row r="639" spans="1:11" x14ac:dyDescent="0.2">
      <c r="A639" s="17" t="s">
        <v>534</v>
      </c>
      <c r="B639" s="17" t="s">
        <v>53</v>
      </c>
      <c r="C639" s="18">
        <v>44677</v>
      </c>
      <c r="D639" s="17">
        <v>1500000000</v>
      </c>
      <c r="E639" s="17" t="s">
        <v>54</v>
      </c>
      <c r="F639" s="17">
        <v>1601100000</v>
      </c>
      <c r="G639" s="17" t="s">
        <v>55</v>
      </c>
      <c r="H639" s="17" t="s">
        <v>382</v>
      </c>
      <c r="I639" s="17" t="s">
        <v>535</v>
      </c>
      <c r="J639" s="17">
        <v>2022</v>
      </c>
      <c r="K639" s="17">
        <v>1.6011</v>
      </c>
    </row>
    <row r="640" spans="1:11" x14ac:dyDescent="0.2">
      <c r="A640" s="15" t="s">
        <v>534</v>
      </c>
      <c r="B640" s="15" t="s">
        <v>53</v>
      </c>
      <c r="C640" s="16">
        <v>45379</v>
      </c>
      <c r="D640" s="15">
        <v>1000000000</v>
      </c>
      <c r="E640" s="15" t="s">
        <v>54</v>
      </c>
      <c r="F640" s="15">
        <v>1082544000</v>
      </c>
      <c r="G640" s="15" t="s">
        <v>55</v>
      </c>
      <c r="H640" s="15" t="s">
        <v>382</v>
      </c>
      <c r="I640" s="15" t="s">
        <v>535</v>
      </c>
      <c r="J640" s="15">
        <v>2024</v>
      </c>
      <c r="K640" s="15">
        <v>1.082544</v>
      </c>
    </row>
    <row r="641" spans="1:11" x14ac:dyDescent="0.2">
      <c r="A641" s="17" t="s">
        <v>534</v>
      </c>
      <c r="B641" s="17" t="s">
        <v>53</v>
      </c>
      <c r="C641" s="18">
        <v>44449</v>
      </c>
      <c r="D641" s="17">
        <v>3500000000</v>
      </c>
      <c r="E641" s="17" t="s">
        <v>54</v>
      </c>
      <c r="F641" s="17">
        <v>4138180000</v>
      </c>
      <c r="G641" s="17" t="s">
        <v>55</v>
      </c>
      <c r="H641" s="17" t="s">
        <v>382</v>
      </c>
      <c r="I641" s="17" t="s">
        <v>535</v>
      </c>
      <c r="J641" s="17">
        <v>2021</v>
      </c>
      <c r="K641" s="17">
        <v>4.1381800000000002</v>
      </c>
    </row>
    <row r="642" spans="1:11" x14ac:dyDescent="0.2">
      <c r="A642" s="15" t="s">
        <v>534</v>
      </c>
      <c r="B642" s="15" t="s">
        <v>53</v>
      </c>
      <c r="C642" s="16">
        <v>44567</v>
      </c>
      <c r="D642" s="15">
        <v>4000000000</v>
      </c>
      <c r="E642" s="15" t="s">
        <v>54</v>
      </c>
      <c r="F642" s="15">
        <v>4526000000</v>
      </c>
      <c r="G642" s="15" t="s">
        <v>55</v>
      </c>
      <c r="H642" s="15" t="s">
        <v>382</v>
      </c>
      <c r="I642" s="15" t="s">
        <v>535</v>
      </c>
      <c r="J642" s="15">
        <v>2022</v>
      </c>
      <c r="K642" s="15">
        <v>4.5259999999999998</v>
      </c>
    </row>
    <row r="643" spans="1:11" x14ac:dyDescent="0.2">
      <c r="A643" s="17" t="s">
        <v>534</v>
      </c>
      <c r="B643" s="17" t="s">
        <v>53</v>
      </c>
      <c r="C643" s="18">
        <v>45351</v>
      </c>
      <c r="D643" s="17">
        <v>1000000000</v>
      </c>
      <c r="E643" s="17" t="s">
        <v>54</v>
      </c>
      <c r="F643" s="17">
        <v>1080444000</v>
      </c>
      <c r="G643" s="17" t="s">
        <v>55</v>
      </c>
      <c r="H643" s="17" t="s">
        <v>382</v>
      </c>
      <c r="I643" s="17" t="s">
        <v>535</v>
      </c>
      <c r="J643" s="17">
        <v>2024</v>
      </c>
      <c r="K643" s="17">
        <v>1.080444</v>
      </c>
    </row>
    <row r="644" spans="1:11" x14ac:dyDescent="0.2">
      <c r="A644" s="15" t="s">
        <v>534</v>
      </c>
      <c r="B644" s="15" t="s">
        <v>53</v>
      </c>
      <c r="C644" s="16">
        <v>44334</v>
      </c>
      <c r="D644" s="15">
        <v>6000000000</v>
      </c>
      <c r="E644" s="15" t="s">
        <v>54</v>
      </c>
      <c r="F644" s="15">
        <v>7333200000</v>
      </c>
      <c r="G644" s="15" t="s">
        <v>55</v>
      </c>
      <c r="H644" s="15" t="s">
        <v>382</v>
      </c>
      <c r="I644" s="15" t="s">
        <v>535</v>
      </c>
      <c r="J644" s="15">
        <v>2021</v>
      </c>
      <c r="K644" s="15">
        <v>7.3331999999999997</v>
      </c>
    </row>
    <row r="645" spans="1:11" x14ac:dyDescent="0.2">
      <c r="A645" s="17" t="s">
        <v>534</v>
      </c>
      <c r="B645" s="17" t="s">
        <v>53</v>
      </c>
      <c r="C645" s="18">
        <v>45006</v>
      </c>
      <c r="D645" s="17">
        <v>1500000000</v>
      </c>
      <c r="E645" s="17" t="s">
        <v>54</v>
      </c>
      <c r="F645" s="17">
        <v>1616536500</v>
      </c>
      <c r="G645" s="17" t="s">
        <v>55</v>
      </c>
      <c r="H645" s="17" t="s">
        <v>382</v>
      </c>
      <c r="I645" s="17" t="s">
        <v>535</v>
      </c>
      <c r="J645" s="17">
        <v>2023</v>
      </c>
      <c r="K645" s="17">
        <v>1.6165365</v>
      </c>
    </row>
    <row r="646" spans="1:11" x14ac:dyDescent="0.2">
      <c r="A646" s="15" t="s">
        <v>534</v>
      </c>
      <c r="B646" s="15" t="s">
        <v>53</v>
      </c>
      <c r="C646" s="16">
        <v>44614</v>
      </c>
      <c r="D646" s="15">
        <v>1500000000</v>
      </c>
      <c r="E646" s="15" t="s">
        <v>54</v>
      </c>
      <c r="F646" s="15">
        <v>1701300000</v>
      </c>
      <c r="G646" s="15" t="s">
        <v>55</v>
      </c>
      <c r="H646" s="15" t="s">
        <v>382</v>
      </c>
      <c r="I646" s="15" t="s">
        <v>535</v>
      </c>
      <c r="J646" s="15">
        <v>2022</v>
      </c>
      <c r="K646" s="15">
        <v>1.7013</v>
      </c>
    </row>
    <row r="647" spans="1:11" x14ac:dyDescent="0.2">
      <c r="A647" s="17" t="s">
        <v>534</v>
      </c>
      <c r="B647" s="17" t="s">
        <v>53</v>
      </c>
      <c r="C647" s="18">
        <v>44869</v>
      </c>
      <c r="D647" s="17">
        <v>1000000000</v>
      </c>
      <c r="E647" s="17" t="s">
        <v>54</v>
      </c>
      <c r="F647" s="17">
        <v>998352000</v>
      </c>
      <c r="G647" s="17" t="s">
        <v>55</v>
      </c>
      <c r="H647" s="17" t="s">
        <v>382</v>
      </c>
      <c r="I647" s="17" t="s">
        <v>535</v>
      </c>
      <c r="J647" s="17">
        <v>2022</v>
      </c>
      <c r="K647" s="17">
        <v>0.99835200000000002</v>
      </c>
    </row>
    <row r="648" spans="1:11" x14ac:dyDescent="0.2">
      <c r="A648" s="15" t="s">
        <v>534</v>
      </c>
      <c r="B648" s="15" t="s">
        <v>53</v>
      </c>
      <c r="C648" s="16">
        <v>44141</v>
      </c>
      <c r="D648" s="15">
        <v>5000000000</v>
      </c>
      <c r="E648" s="15" t="s">
        <v>54</v>
      </c>
      <c r="F648" s="15">
        <v>5935000000</v>
      </c>
      <c r="G648" s="15" t="s">
        <v>55</v>
      </c>
      <c r="H648" s="15" t="s">
        <v>382</v>
      </c>
      <c r="I648" s="15" t="s">
        <v>535</v>
      </c>
      <c r="J648" s="15">
        <v>2020</v>
      </c>
      <c r="K648" s="15">
        <v>5.9349999999999996</v>
      </c>
    </row>
    <row r="649" spans="1:11" x14ac:dyDescent="0.2">
      <c r="A649" s="17" t="s">
        <v>534</v>
      </c>
      <c r="B649" s="17" t="s">
        <v>53</v>
      </c>
      <c r="C649" s="18">
        <v>45049</v>
      </c>
      <c r="D649" s="17">
        <v>5250000000</v>
      </c>
      <c r="E649" s="17" t="s">
        <v>54</v>
      </c>
      <c r="F649" s="17">
        <v>5789910000</v>
      </c>
      <c r="G649" s="17" t="s">
        <v>55</v>
      </c>
      <c r="H649" s="17" t="s">
        <v>382</v>
      </c>
      <c r="I649" s="17" t="s">
        <v>535</v>
      </c>
      <c r="J649" s="17">
        <v>2023</v>
      </c>
      <c r="K649" s="17">
        <v>5.7899099999999999</v>
      </c>
    </row>
    <row r="650" spans="1:11" x14ac:dyDescent="0.2">
      <c r="A650" s="15" t="s">
        <v>534</v>
      </c>
      <c r="B650" s="15" t="s">
        <v>53</v>
      </c>
      <c r="C650" s="16">
        <v>45114</v>
      </c>
      <c r="D650" s="15">
        <v>1000000000</v>
      </c>
      <c r="E650" s="15" t="s">
        <v>54</v>
      </c>
      <c r="F650" s="15">
        <v>1097449000</v>
      </c>
      <c r="G650" s="15" t="s">
        <v>55</v>
      </c>
      <c r="H650" s="15" t="s">
        <v>382</v>
      </c>
      <c r="I650" s="15" t="s">
        <v>535</v>
      </c>
      <c r="J650" s="15">
        <v>2023</v>
      </c>
      <c r="K650" s="15">
        <v>1.0974489999999999</v>
      </c>
    </row>
    <row r="651" spans="1:11" x14ac:dyDescent="0.2">
      <c r="A651" s="17" t="s">
        <v>534</v>
      </c>
      <c r="B651" s="17" t="s">
        <v>53</v>
      </c>
      <c r="C651" s="18">
        <v>44762</v>
      </c>
      <c r="D651" s="17">
        <v>1500000000</v>
      </c>
      <c r="E651" s="17" t="s">
        <v>54</v>
      </c>
      <c r="F651" s="17">
        <v>1529850000</v>
      </c>
      <c r="G651" s="17" t="s">
        <v>55</v>
      </c>
      <c r="H651" s="17" t="s">
        <v>382</v>
      </c>
      <c r="I651" s="17" t="s">
        <v>535</v>
      </c>
      <c r="J651" s="17">
        <v>2022</v>
      </c>
      <c r="K651" s="17">
        <v>1.5298499999999999</v>
      </c>
    </row>
    <row r="652" spans="1:11" x14ac:dyDescent="0.2">
      <c r="A652" s="15" t="s">
        <v>534</v>
      </c>
      <c r="B652" s="15" t="s">
        <v>53</v>
      </c>
      <c r="C652" s="16">
        <v>45170</v>
      </c>
      <c r="D652" s="15">
        <v>1500000000</v>
      </c>
      <c r="E652" s="15" t="s">
        <v>54</v>
      </c>
      <c r="F652" s="15">
        <v>1619338500</v>
      </c>
      <c r="G652" s="15" t="s">
        <v>55</v>
      </c>
      <c r="H652" s="15" t="s">
        <v>382</v>
      </c>
      <c r="I652" s="15" t="s">
        <v>535</v>
      </c>
      <c r="J652" s="15">
        <v>2023</v>
      </c>
      <c r="K652" s="15">
        <v>1.6193385</v>
      </c>
    </row>
    <row r="653" spans="1:11" x14ac:dyDescent="0.2">
      <c r="A653" s="17" t="s">
        <v>534</v>
      </c>
      <c r="B653" s="17" t="s">
        <v>53</v>
      </c>
      <c r="C653" s="18">
        <v>45316</v>
      </c>
      <c r="D653" s="17">
        <v>1000000000</v>
      </c>
      <c r="E653" s="17" t="s">
        <v>54</v>
      </c>
      <c r="F653" s="17">
        <v>1084658000</v>
      </c>
      <c r="G653" s="17" t="s">
        <v>55</v>
      </c>
      <c r="H653" s="17" t="s">
        <v>382</v>
      </c>
      <c r="I653" s="17" t="s">
        <v>535</v>
      </c>
      <c r="J653" s="17">
        <v>2024</v>
      </c>
      <c r="K653" s="17">
        <v>1.0846579999999999</v>
      </c>
    </row>
    <row r="654" spans="1:11" x14ac:dyDescent="0.2">
      <c r="A654" s="15" t="s">
        <v>534</v>
      </c>
      <c r="B654" s="15" t="s">
        <v>53</v>
      </c>
      <c r="C654" s="16">
        <v>45379</v>
      </c>
      <c r="D654" s="15">
        <v>1000000000</v>
      </c>
      <c r="E654" s="15" t="s">
        <v>54</v>
      </c>
      <c r="F654" s="15">
        <v>1082544000</v>
      </c>
      <c r="G654" s="15" t="s">
        <v>55</v>
      </c>
      <c r="H654" s="15" t="s">
        <v>382</v>
      </c>
      <c r="I654" s="15" t="s">
        <v>535</v>
      </c>
      <c r="J654" s="15">
        <v>2024</v>
      </c>
      <c r="K654" s="15">
        <v>1.082544</v>
      </c>
    </row>
    <row r="655" spans="1:11" x14ac:dyDescent="0.2">
      <c r="A655" s="17" t="s">
        <v>534</v>
      </c>
      <c r="B655" s="17" t="s">
        <v>53</v>
      </c>
      <c r="C655" s="18">
        <v>45086</v>
      </c>
      <c r="D655" s="17">
        <v>1000000000</v>
      </c>
      <c r="E655" s="17" t="s">
        <v>54</v>
      </c>
      <c r="F655" s="17">
        <v>1070550000</v>
      </c>
      <c r="G655" s="17" t="s">
        <v>55</v>
      </c>
      <c r="H655" s="17" t="s">
        <v>382</v>
      </c>
      <c r="I655" s="17" t="s">
        <v>535</v>
      </c>
      <c r="J655" s="17">
        <v>2023</v>
      </c>
      <c r="K655" s="17">
        <v>1.0705499999999999</v>
      </c>
    </row>
    <row r="656" spans="1:11" x14ac:dyDescent="0.2">
      <c r="A656" s="15" t="s">
        <v>534</v>
      </c>
      <c r="B656" s="15" t="s">
        <v>53</v>
      </c>
      <c r="C656" s="16">
        <v>45232</v>
      </c>
      <c r="D656" s="15">
        <v>1000000000</v>
      </c>
      <c r="E656" s="15" t="s">
        <v>54</v>
      </c>
      <c r="F656" s="15">
        <v>1052859000</v>
      </c>
      <c r="G656" s="15" t="s">
        <v>55</v>
      </c>
      <c r="H656" s="15" t="s">
        <v>382</v>
      </c>
      <c r="I656" s="15" t="s">
        <v>535</v>
      </c>
      <c r="J656" s="15">
        <v>2023</v>
      </c>
      <c r="K656" s="15">
        <v>1.052859</v>
      </c>
    </row>
    <row r="657" spans="1:11" x14ac:dyDescent="0.2">
      <c r="A657" s="17" t="s">
        <v>534</v>
      </c>
      <c r="B657" s="17" t="s">
        <v>53</v>
      </c>
      <c r="C657" s="18">
        <v>45316</v>
      </c>
      <c r="D657" s="17">
        <v>1000000000</v>
      </c>
      <c r="E657" s="17" t="s">
        <v>54</v>
      </c>
      <c r="F657" s="17">
        <v>1084658000</v>
      </c>
      <c r="G657" s="17" t="s">
        <v>55</v>
      </c>
      <c r="H657" s="17" t="s">
        <v>382</v>
      </c>
      <c r="I657" s="17" t="s">
        <v>535</v>
      </c>
      <c r="J657" s="17">
        <v>2024</v>
      </c>
      <c r="K657" s="17">
        <v>1.0846579999999999</v>
      </c>
    </row>
    <row r="658" spans="1:11" x14ac:dyDescent="0.2">
      <c r="A658" s="15" t="s">
        <v>534</v>
      </c>
      <c r="B658" s="15" t="s">
        <v>53</v>
      </c>
      <c r="C658" s="16">
        <v>44540</v>
      </c>
      <c r="D658" s="15">
        <v>3000000000</v>
      </c>
      <c r="E658" s="15" t="s">
        <v>54</v>
      </c>
      <c r="F658" s="15">
        <v>3381900000</v>
      </c>
      <c r="G658" s="15" t="s">
        <v>55</v>
      </c>
      <c r="H658" s="15" t="s">
        <v>382</v>
      </c>
      <c r="I658" s="15" t="s">
        <v>535</v>
      </c>
      <c r="J658" s="15">
        <v>2021</v>
      </c>
      <c r="K658" s="15">
        <v>3.3818999999999999</v>
      </c>
    </row>
    <row r="659" spans="1:11" x14ac:dyDescent="0.2">
      <c r="A659" s="17" t="s">
        <v>534</v>
      </c>
      <c r="B659" s="17" t="s">
        <v>53</v>
      </c>
      <c r="C659" s="18">
        <v>44083</v>
      </c>
      <c r="D659" s="17">
        <v>6500000000</v>
      </c>
      <c r="E659" s="17" t="s">
        <v>54</v>
      </c>
      <c r="F659" s="17">
        <v>7652450000</v>
      </c>
      <c r="G659" s="17" t="s">
        <v>55</v>
      </c>
      <c r="H659" s="17" t="s">
        <v>382</v>
      </c>
      <c r="I659" s="17" t="s">
        <v>535</v>
      </c>
      <c r="J659" s="17">
        <v>2020</v>
      </c>
      <c r="K659" s="17">
        <v>7.65245</v>
      </c>
    </row>
    <row r="660" spans="1:11" x14ac:dyDescent="0.2">
      <c r="A660" s="15" t="s">
        <v>534</v>
      </c>
      <c r="B660" s="15" t="s">
        <v>53</v>
      </c>
      <c r="C660" s="16">
        <v>45097</v>
      </c>
      <c r="D660" s="15">
        <v>4500000000</v>
      </c>
      <c r="E660" s="15" t="s">
        <v>54</v>
      </c>
      <c r="F660" s="15">
        <v>4914009000</v>
      </c>
      <c r="G660" s="15" t="s">
        <v>55</v>
      </c>
      <c r="H660" s="15" t="s">
        <v>382</v>
      </c>
      <c r="I660" s="15" t="s">
        <v>535</v>
      </c>
      <c r="J660" s="15">
        <v>2023</v>
      </c>
      <c r="K660" s="15">
        <v>4.9140090000000001</v>
      </c>
    </row>
    <row r="661" spans="1:11" x14ac:dyDescent="0.2">
      <c r="A661" s="17" t="s">
        <v>534</v>
      </c>
      <c r="B661" s="17" t="s">
        <v>53</v>
      </c>
      <c r="C661" s="18">
        <v>44950</v>
      </c>
      <c r="D661" s="17">
        <v>1500000000</v>
      </c>
      <c r="E661" s="17" t="s">
        <v>54</v>
      </c>
      <c r="F661" s="17">
        <v>1633168500</v>
      </c>
      <c r="G661" s="17" t="s">
        <v>55</v>
      </c>
      <c r="H661" s="17" t="s">
        <v>382</v>
      </c>
      <c r="I661" s="17" t="s">
        <v>535</v>
      </c>
      <c r="J661" s="17">
        <v>2023</v>
      </c>
      <c r="K661" s="17">
        <v>1.6331685</v>
      </c>
    </row>
    <row r="662" spans="1:11" x14ac:dyDescent="0.2">
      <c r="A662" s="15" t="s">
        <v>534</v>
      </c>
      <c r="B662" s="15" t="s">
        <v>53</v>
      </c>
      <c r="C662" s="16">
        <v>44811</v>
      </c>
      <c r="D662" s="15">
        <v>5000000000</v>
      </c>
      <c r="E662" s="15" t="s">
        <v>54</v>
      </c>
      <c r="F662" s="15">
        <v>4942500000</v>
      </c>
      <c r="G662" s="15" t="s">
        <v>55</v>
      </c>
      <c r="H662" s="15" t="s">
        <v>382</v>
      </c>
      <c r="I662" s="15" t="s">
        <v>535</v>
      </c>
      <c r="J662" s="15">
        <v>2022</v>
      </c>
      <c r="K662" s="15">
        <v>4.9424999999999999</v>
      </c>
    </row>
    <row r="663" spans="1:11" x14ac:dyDescent="0.2">
      <c r="A663" s="17" t="s">
        <v>474</v>
      </c>
      <c r="B663" s="17" t="s">
        <v>53</v>
      </c>
      <c r="C663" s="18">
        <v>45274</v>
      </c>
      <c r="D663" s="17">
        <v>1086944300000</v>
      </c>
      <c r="E663" s="17" t="s">
        <v>301</v>
      </c>
      <c r="F663" s="17">
        <v>273909964</v>
      </c>
      <c r="G663" s="17" t="s">
        <v>302</v>
      </c>
      <c r="H663" s="17" t="s">
        <v>382</v>
      </c>
      <c r="I663" s="17" t="s">
        <v>475</v>
      </c>
      <c r="J663" s="17">
        <v>2023</v>
      </c>
      <c r="K663" s="17">
        <v>0.27390996400000001</v>
      </c>
    </row>
    <row r="664" spans="1:11" x14ac:dyDescent="0.2">
      <c r="A664" s="15" t="s">
        <v>474</v>
      </c>
      <c r="B664" s="15" t="s">
        <v>53</v>
      </c>
      <c r="C664" s="16">
        <v>44741</v>
      </c>
      <c r="D664" s="15">
        <v>644895000000</v>
      </c>
      <c r="E664" s="15" t="s">
        <v>301</v>
      </c>
      <c r="F664" s="15">
        <v>156709485</v>
      </c>
      <c r="G664" s="15" t="s">
        <v>302</v>
      </c>
      <c r="H664" s="15" t="s">
        <v>382</v>
      </c>
      <c r="I664" s="15" t="s">
        <v>475</v>
      </c>
      <c r="J664" s="15">
        <v>2022</v>
      </c>
      <c r="K664" s="15">
        <v>0.15670948500000001</v>
      </c>
    </row>
    <row r="665" spans="1:11" x14ac:dyDescent="0.2">
      <c r="A665" s="17" t="s">
        <v>474</v>
      </c>
      <c r="B665" s="17" t="s">
        <v>53</v>
      </c>
      <c r="C665" s="18">
        <v>44468</v>
      </c>
      <c r="D665" s="17">
        <v>751119000000</v>
      </c>
      <c r="E665" s="17" t="s">
        <v>301</v>
      </c>
      <c r="F665" s="17">
        <v>196042059</v>
      </c>
      <c r="G665" s="17" t="s">
        <v>302</v>
      </c>
      <c r="H665" s="17" t="s">
        <v>382</v>
      </c>
      <c r="I665" s="17" t="s">
        <v>475</v>
      </c>
      <c r="J665" s="17">
        <v>2021</v>
      </c>
      <c r="K665" s="17">
        <v>0.19604205899999999</v>
      </c>
    </row>
    <row r="666" spans="1:11" x14ac:dyDescent="0.2">
      <c r="A666" s="15" t="s">
        <v>474</v>
      </c>
      <c r="B666" s="15" t="s">
        <v>53</v>
      </c>
      <c r="C666" s="16">
        <v>44477</v>
      </c>
      <c r="D666" s="15">
        <v>85500000000</v>
      </c>
      <c r="E666" s="15" t="s">
        <v>301</v>
      </c>
      <c r="F666" s="15">
        <v>22584227</v>
      </c>
      <c r="G666" s="15" t="s">
        <v>302</v>
      </c>
      <c r="H666" s="15" t="s">
        <v>382</v>
      </c>
      <c r="I666" s="15" t="s">
        <v>475</v>
      </c>
      <c r="J666" s="15">
        <v>2021</v>
      </c>
      <c r="K666" s="15">
        <v>2.2584226999999998E-2</v>
      </c>
    </row>
    <row r="667" spans="1:11" x14ac:dyDescent="0.2">
      <c r="A667" s="17" t="s">
        <v>474</v>
      </c>
      <c r="B667" s="17" t="s">
        <v>53</v>
      </c>
      <c r="C667" s="18">
        <v>44496</v>
      </c>
      <c r="D667" s="17">
        <v>660710100000</v>
      </c>
      <c r="E667" s="17" t="s">
        <v>301</v>
      </c>
      <c r="F667" s="17">
        <v>175748887</v>
      </c>
      <c r="G667" s="17" t="s">
        <v>302</v>
      </c>
      <c r="H667" s="17" t="s">
        <v>382</v>
      </c>
      <c r="I667" s="17" t="s">
        <v>475</v>
      </c>
      <c r="J667" s="17">
        <v>2021</v>
      </c>
      <c r="K667" s="17">
        <v>0.17574888699999999</v>
      </c>
    </row>
    <row r="668" spans="1:11" x14ac:dyDescent="0.2">
      <c r="A668" s="15" t="s">
        <v>392</v>
      </c>
      <c r="B668" s="15" t="s">
        <v>53</v>
      </c>
      <c r="C668" s="16">
        <v>44587</v>
      </c>
      <c r="D668" s="15">
        <v>20799980000</v>
      </c>
      <c r="E668" s="15" t="s">
        <v>408</v>
      </c>
      <c r="F668" s="15">
        <v>65215718</v>
      </c>
      <c r="G668" s="15" t="s">
        <v>393</v>
      </c>
      <c r="H668" s="15" t="s">
        <v>382</v>
      </c>
      <c r="I668" s="15" t="s">
        <v>394</v>
      </c>
      <c r="J668" s="15">
        <v>2022</v>
      </c>
      <c r="K668" s="15">
        <v>6.5215718000000006E-2</v>
      </c>
    </row>
    <row r="669" spans="1:11" x14ac:dyDescent="0.2">
      <c r="A669" s="17" t="s">
        <v>392</v>
      </c>
      <c r="B669" s="17" t="s">
        <v>53</v>
      </c>
      <c r="C669" s="18">
        <v>44886</v>
      </c>
      <c r="D669" s="17">
        <v>1000000000</v>
      </c>
      <c r="E669" s="17" t="s">
        <v>54</v>
      </c>
      <c r="F669" s="17">
        <v>1024333000</v>
      </c>
      <c r="G669" s="17" t="s">
        <v>393</v>
      </c>
      <c r="H669" s="17" t="s">
        <v>382</v>
      </c>
      <c r="I669" s="17" t="s">
        <v>394</v>
      </c>
      <c r="J669" s="17">
        <v>2022</v>
      </c>
      <c r="K669" s="17">
        <v>1.0243329999999999</v>
      </c>
    </row>
    <row r="670" spans="1:11" x14ac:dyDescent="0.2">
      <c r="A670" s="15" t="s">
        <v>424</v>
      </c>
      <c r="B670" s="15" t="s">
        <v>434</v>
      </c>
      <c r="C670" s="16">
        <v>45033</v>
      </c>
      <c r="D670" s="15">
        <v>300000000000</v>
      </c>
      <c r="E670" s="15" t="s">
        <v>315</v>
      </c>
      <c r="F670" s="15">
        <v>376038000</v>
      </c>
      <c r="G670" s="15" t="s">
        <v>226</v>
      </c>
      <c r="H670" s="15" t="s">
        <v>382</v>
      </c>
      <c r="I670" s="15" t="s">
        <v>425</v>
      </c>
      <c r="J670" s="15">
        <v>2023</v>
      </c>
      <c r="K670" s="15">
        <v>0.37603799999999998</v>
      </c>
    </row>
    <row r="671" spans="1:11" x14ac:dyDescent="0.2">
      <c r="A671" s="17" t="s">
        <v>424</v>
      </c>
      <c r="B671" s="17" t="s">
        <v>434</v>
      </c>
      <c r="C671" s="18">
        <v>45044</v>
      </c>
      <c r="D671" s="17">
        <v>298800000000</v>
      </c>
      <c r="E671" s="17" t="s">
        <v>315</v>
      </c>
      <c r="F671" s="17">
        <v>371468160</v>
      </c>
      <c r="G671" s="17" t="s">
        <v>226</v>
      </c>
      <c r="H671" s="17" t="s">
        <v>382</v>
      </c>
      <c r="I671" s="17" t="s">
        <v>425</v>
      </c>
      <c r="J671" s="17">
        <v>2023</v>
      </c>
      <c r="K671" s="17">
        <v>0.37146815999999999</v>
      </c>
    </row>
    <row r="672" spans="1:11" x14ac:dyDescent="0.2">
      <c r="A672" s="15" t="s">
        <v>424</v>
      </c>
      <c r="B672" s="15" t="s">
        <v>434</v>
      </c>
      <c r="C672" s="16">
        <v>45051</v>
      </c>
      <c r="D672" s="15">
        <v>300000000000</v>
      </c>
      <c r="E672" s="15" t="s">
        <v>315</v>
      </c>
      <c r="F672" s="15">
        <v>373515000</v>
      </c>
      <c r="G672" s="15" t="s">
        <v>226</v>
      </c>
      <c r="H672" s="15" t="s">
        <v>382</v>
      </c>
      <c r="I672" s="15" t="s">
        <v>425</v>
      </c>
      <c r="J672" s="15">
        <v>2023</v>
      </c>
      <c r="K672" s="15">
        <v>0.37351499999999999</v>
      </c>
    </row>
    <row r="673" spans="1:11" x14ac:dyDescent="0.2">
      <c r="A673" s="17" t="s">
        <v>424</v>
      </c>
      <c r="B673" s="17" t="s">
        <v>434</v>
      </c>
      <c r="C673" s="18">
        <v>45064</v>
      </c>
      <c r="D673" s="17">
        <v>1751200000000</v>
      </c>
      <c r="E673" s="17" t="s">
        <v>315</v>
      </c>
      <c r="F673" s="17">
        <v>2194568816</v>
      </c>
      <c r="G673" s="17" t="s">
        <v>226</v>
      </c>
      <c r="H673" s="17" t="s">
        <v>382</v>
      </c>
      <c r="I673" s="17" t="s">
        <v>425</v>
      </c>
      <c r="J673" s="17">
        <v>2023</v>
      </c>
      <c r="K673" s="17">
        <v>2.1945688159999999</v>
      </c>
    </row>
    <row r="674" spans="1:11" x14ac:dyDescent="0.2">
      <c r="A674" s="15" t="s">
        <v>424</v>
      </c>
      <c r="B674" s="15" t="s">
        <v>434</v>
      </c>
      <c r="C674" s="16">
        <v>45257</v>
      </c>
      <c r="D674" s="15">
        <v>69380000000</v>
      </c>
      <c r="E674" s="15" t="s">
        <v>315</v>
      </c>
      <c r="F674" s="15">
        <v>79598286</v>
      </c>
      <c r="G674" s="15" t="s">
        <v>226</v>
      </c>
      <c r="H674" s="15" t="s">
        <v>382</v>
      </c>
      <c r="I674" s="15" t="s">
        <v>425</v>
      </c>
      <c r="J674" s="15">
        <v>2023</v>
      </c>
      <c r="K674" s="15">
        <v>7.9598286000000004E-2</v>
      </c>
    </row>
    <row r="675" spans="1:11" x14ac:dyDescent="0.2">
      <c r="A675" s="17" t="s">
        <v>424</v>
      </c>
      <c r="B675" s="17" t="s">
        <v>68</v>
      </c>
      <c r="C675" s="18">
        <v>44858</v>
      </c>
      <c r="D675" s="17">
        <v>1000000000000</v>
      </c>
      <c r="E675" s="17" t="s">
        <v>315</v>
      </c>
      <c r="F675" s="17">
        <v>1027530000</v>
      </c>
      <c r="G675" s="17" t="s">
        <v>226</v>
      </c>
      <c r="H675" s="17" t="s">
        <v>382</v>
      </c>
      <c r="I675" s="17" t="s">
        <v>425</v>
      </c>
      <c r="J675" s="17">
        <v>2022</v>
      </c>
      <c r="K675" s="17">
        <v>1.0275300000000001</v>
      </c>
    </row>
    <row r="676" spans="1:11" x14ac:dyDescent="0.2">
      <c r="A676" s="15" t="s">
        <v>424</v>
      </c>
      <c r="B676" s="15" t="s">
        <v>68</v>
      </c>
      <c r="C676" s="16">
        <v>44592</v>
      </c>
      <c r="D676" s="15">
        <v>1500000000</v>
      </c>
      <c r="E676" s="15" t="s">
        <v>59</v>
      </c>
      <c r="F676" s="15">
        <v>1500000000</v>
      </c>
      <c r="G676" s="15" t="s">
        <v>226</v>
      </c>
      <c r="H676" s="15" t="s">
        <v>382</v>
      </c>
      <c r="I676" s="15" t="s">
        <v>425</v>
      </c>
      <c r="J676" s="15">
        <v>2022</v>
      </c>
      <c r="K676" s="15">
        <v>1.5</v>
      </c>
    </row>
    <row r="677" spans="1:11" x14ac:dyDescent="0.2">
      <c r="A677" s="17" t="s">
        <v>424</v>
      </c>
      <c r="B677" s="17" t="s">
        <v>434</v>
      </c>
      <c r="C677" s="18">
        <v>44342</v>
      </c>
      <c r="D677" s="17">
        <v>1000000000</v>
      </c>
      <c r="E677" s="17" t="s">
        <v>59</v>
      </c>
      <c r="F677" s="17">
        <v>1000000000</v>
      </c>
      <c r="G677" s="17" t="s">
        <v>226</v>
      </c>
      <c r="H677" s="17" t="s">
        <v>382</v>
      </c>
      <c r="I677" s="17" t="s">
        <v>425</v>
      </c>
      <c r="J677" s="17">
        <v>2021</v>
      </c>
      <c r="K677" s="17">
        <v>1</v>
      </c>
    </row>
    <row r="678" spans="1:11" x14ac:dyDescent="0.2">
      <c r="A678" s="15" t="s">
        <v>424</v>
      </c>
      <c r="B678" s="15" t="s">
        <v>434</v>
      </c>
      <c r="C678" s="16">
        <v>44158</v>
      </c>
      <c r="D678" s="15">
        <v>1040000000000</v>
      </c>
      <c r="E678" s="15" t="s">
        <v>315</v>
      </c>
      <c r="F678" s="15">
        <v>1362400000</v>
      </c>
      <c r="G678" s="15" t="s">
        <v>226</v>
      </c>
      <c r="H678" s="15" t="s">
        <v>382</v>
      </c>
      <c r="I678" s="15" t="s">
        <v>425</v>
      </c>
      <c r="J678" s="15">
        <v>2020</v>
      </c>
      <c r="K678" s="15">
        <v>1.3624000000000001</v>
      </c>
    </row>
    <row r="679" spans="1:11" x14ac:dyDescent="0.2">
      <c r="A679" s="17" t="s">
        <v>424</v>
      </c>
      <c r="B679" s="17" t="s">
        <v>434</v>
      </c>
      <c r="C679" s="18">
        <v>44158</v>
      </c>
      <c r="D679" s="17">
        <v>560000000000</v>
      </c>
      <c r="E679" s="17" t="s">
        <v>315</v>
      </c>
      <c r="F679" s="17">
        <v>733600000</v>
      </c>
      <c r="G679" s="17" t="s">
        <v>226</v>
      </c>
      <c r="H679" s="17" t="s">
        <v>382</v>
      </c>
      <c r="I679" s="17" t="s">
        <v>425</v>
      </c>
      <c r="J679" s="17">
        <v>2020</v>
      </c>
      <c r="K679" s="17">
        <v>0.73360000000000003</v>
      </c>
    </row>
    <row r="680" spans="1:11" x14ac:dyDescent="0.2">
      <c r="A680" s="15" t="s">
        <v>536</v>
      </c>
      <c r="B680" s="15" t="s">
        <v>53</v>
      </c>
      <c r="C680" s="16">
        <v>44860</v>
      </c>
      <c r="D680" s="15">
        <v>1066050000</v>
      </c>
      <c r="E680" s="15" t="s">
        <v>104</v>
      </c>
      <c r="F680" s="15">
        <v>1063340438</v>
      </c>
      <c r="G680" s="15" t="s">
        <v>537</v>
      </c>
      <c r="H680" s="15" t="s">
        <v>382</v>
      </c>
      <c r="I680" s="15" t="s">
        <v>538</v>
      </c>
      <c r="J680" s="15">
        <v>2022</v>
      </c>
      <c r="K680" s="15">
        <v>1.063340438</v>
      </c>
    </row>
    <row r="681" spans="1:11" x14ac:dyDescent="0.2">
      <c r="A681" s="17" t="s">
        <v>536</v>
      </c>
      <c r="B681" s="17" t="s">
        <v>53</v>
      </c>
      <c r="C681" s="18">
        <v>45007</v>
      </c>
      <c r="D681" s="17">
        <v>346100000</v>
      </c>
      <c r="E681" s="17" t="s">
        <v>104</v>
      </c>
      <c r="F681" s="17">
        <v>367078505</v>
      </c>
      <c r="G681" s="17" t="s">
        <v>537</v>
      </c>
      <c r="H681" s="17" t="s">
        <v>382</v>
      </c>
      <c r="I681" s="17" t="s">
        <v>538</v>
      </c>
      <c r="J681" s="17">
        <v>2023</v>
      </c>
      <c r="K681" s="17">
        <v>0.367078505</v>
      </c>
    </row>
    <row r="682" spans="1:11" x14ac:dyDescent="0.2">
      <c r="A682" s="15" t="s">
        <v>536</v>
      </c>
      <c r="B682" s="15" t="s">
        <v>53</v>
      </c>
      <c r="C682" s="16">
        <v>45197</v>
      </c>
      <c r="D682" s="15">
        <v>325250000</v>
      </c>
      <c r="E682" s="15" t="s">
        <v>104</v>
      </c>
      <c r="F682" s="15">
        <v>355526547</v>
      </c>
      <c r="G682" s="15" t="s">
        <v>537</v>
      </c>
      <c r="H682" s="15" t="s">
        <v>382</v>
      </c>
      <c r="I682" s="15" t="s">
        <v>538</v>
      </c>
      <c r="J682" s="15">
        <v>2023</v>
      </c>
      <c r="K682" s="15">
        <v>0.35552654700000003</v>
      </c>
    </row>
    <row r="683" spans="1:11" x14ac:dyDescent="0.2">
      <c r="A683" s="17" t="s">
        <v>536</v>
      </c>
      <c r="B683" s="17" t="s">
        <v>53</v>
      </c>
      <c r="C683" s="18">
        <v>45316</v>
      </c>
      <c r="D683" s="17">
        <v>207600000</v>
      </c>
      <c r="E683" s="17" t="s">
        <v>104</v>
      </c>
      <c r="F683" s="17">
        <v>239419060</v>
      </c>
      <c r="G683" s="17" t="s">
        <v>537</v>
      </c>
      <c r="H683" s="17" t="s">
        <v>382</v>
      </c>
      <c r="I683" s="17" t="s">
        <v>538</v>
      </c>
      <c r="J683" s="17">
        <v>2024</v>
      </c>
      <c r="K683" s="17">
        <v>0.23941905999999999</v>
      </c>
    </row>
    <row r="684" spans="1:11" x14ac:dyDescent="0.2">
      <c r="A684" s="15" t="s">
        <v>539</v>
      </c>
      <c r="B684" s="15" t="s">
        <v>53</v>
      </c>
      <c r="C684" s="16">
        <v>44649</v>
      </c>
      <c r="D684" s="15">
        <v>5000000000</v>
      </c>
      <c r="E684" s="15" t="s">
        <v>318</v>
      </c>
      <c r="F684" s="15">
        <v>3996034607</v>
      </c>
      <c r="G684" s="15" t="s">
        <v>319</v>
      </c>
      <c r="H684" s="15" t="s">
        <v>382</v>
      </c>
      <c r="I684" s="15" t="s">
        <v>540</v>
      </c>
      <c r="J684" s="15">
        <v>2022</v>
      </c>
      <c r="K684" s="15">
        <v>3.9960346069999999</v>
      </c>
    </row>
    <row r="685" spans="1:11" x14ac:dyDescent="0.2">
      <c r="A685" s="17" t="s">
        <v>539</v>
      </c>
      <c r="B685" s="17" t="s">
        <v>53</v>
      </c>
      <c r="C685" s="18">
        <v>45356</v>
      </c>
      <c r="D685" s="17">
        <v>4000000000</v>
      </c>
      <c r="E685" s="17" t="s">
        <v>318</v>
      </c>
      <c r="F685" s="17">
        <v>2943092000</v>
      </c>
      <c r="G685" s="17" t="s">
        <v>319</v>
      </c>
      <c r="H685" s="17" t="s">
        <v>382</v>
      </c>
      <c r="I685" s="17" t="s">
        <v>540</v>
      </c>
      <c r="J685" s="17">
        <v>2024</v>
      </c>
      <c r="K685" s="17">
        <v>2.943092</v>
      </c>
    </row>
    <row r="686" spans="1:11" x14ac:dyDescent="0.2">
      <c r="A686" s="15" t="s">
        <v>541</v>
      </c>
      <c r="B686" s="15" t="s">
        <v>53</v>
      </c>
      <c r="C686" s="16">
        <v>45229</v>
      </c>
      <c r="D686" s="15">
        <v>64000000</v>
      </c>
      <c r="E686" s="15" t="s">
        <v>54</v>
      </c>
      <c r="F686" s="15">
        <v>67933312</v>
      </c>
      <c r="G686" s="15" t="s">
        <v>340</v>
      </c>
      <c r="H686" s="15" t="s">
        <v>382</v>
      </c>
      <c r="I686" s="15" t="s">
        <v>542</v>
      </c>
      <c r="J686" s="15">
        <v>2023</v>
      </c>
      <c r="K686" s="15">
        <v>6.7933311999999996E-2</v>
      </c>
    </row>
    <row r="687" spans="1:11" x14ac:dyDescent="0.2">
      <c r="A687" s="17" t="s">
        <v>541</v>
      </c>
      <c r="B687" s="17" t="s">
        <v>53</v>
      </c>
      <c r="C687" s="18">
        <v>45328</v>
      </c>
      <c r="D687" s="17">
        <v>218000000</v>
      </c>
      <c r="E687" s="17" t="s">
        <v>54</v>
      </c>
      <c r="F687" s="17">
        <v>234494316</v>
      </c>
      <c r="G687" s="17" t="s">
        <v>340</v>
      </c>
      <c r="H687" s="17" t="s">
        <v>382</v>
      </c>
      <c r="I687" s="17" t="s">
        <v>542</v>
      </c>
      <c r="J687" s="17">
        <v>2024</v>
      </c>
      <c r="K687" s="17">
        <v>0.23449431600000001</v>
      </c>
    </row>
    <row r="688" spans="1:11" x14ac:dyDescent="0.2">
      <c r="A688" s="15" t="s">
        <v>541</v>
      </c>
      <c r="B688" s="15" t="s">
        <v>53</v>
      </c>
      <c r="C688" s="16">
        <v>45224</v>
      </c>
      <c r="D688" s="15">
        <v>515000000</v>
      </c>
      <c r="E688" s="15" t="s">
        <v>54</v>
      </c>
      <c r="F688" s="15">
        <v>544198955</v>
      </c>
      <c r="G688" s="15" t="s">
        <v>340</v>
      </c>
      <c r="H688" s="15" t="s">
        <v>382</v>
      </c>
      <c r="I688" s="15" t="s">
        <v>542</v>
      </c>
      <c r="J688" s="15">
        <v>2023</v>
      </c>
      <c r="K688" s="15">
        <v>0.54419895500000004</v>
      </c>
    </row>
    <row r="689" spans="1:11" x14ac:dyDescent="0.2">
      <c r="A689" s="17" t="s">
        <v>541</v>
      </c>
      <c r="B689" s="17" t="s">
        <v>53</v>
      </c>
      <c r="C689" s="18">
        <v>43670</v>
      </c>
      <c r="D689" s="17">
        <v>779000000</v>
      </c>
      <c r="E689" s="17" t="s">
        <v>54</v>
      </c>
      <c r="F689" s="17">
        <v>870306590</v>
      </c>
      <c r="G689" s="17" t="s">
        <v>340</v>
      </c>
      <c r="H689" s="17" t="s">
        <v>382</v>
      </c>
      <c r="I689" s="17" t="s">
        <v>542</v>
      </c>
      <c r="J689" s="17">
        <v>2019</v>
      </c>
      <c r="K689" s="17">
        <v>0.87030658999999999</v>
      </c>
    </row>
    <row r="690" spans="1:11" x14ac:dyDescent="0.2">
      <c r="A690" s="15" t="s">
        <v>541</v>
      </c>
      <c r="B690" s="15" t="s">
        <v>53</v>
      </c>
      <c r="C690" s="16">
        <v>43549</v>
      </c>
      <c r="D690" s="15">
        <v>105000000</v>
      </c>
      <c r="E690" s="15" t="s">
        <v>54</v>
      </c>
      <c r="F690" s="15">
        <v>118624800</v>
      </c>
      <c r="G690" s="15" t="s">
        <v>340</v>
      </c>
      <c r="H690" s="15" t="s">
        <v>382</v>
      </c>
      <c r="I690" s="15" t="s">
        <v>542</v>
      </c>
      <c r="J690" s="15">
        <v>2019</v>
      </c>
      <c r="K690" s="15">
        <v>0.1186248</v>
      </c>
    </row>
    <row r="691" spans="1:11" x14ac:dyDescent="0.2">
      <c r="A691" s="17" t="s">
        <v>541</v>
      </c>
      <c r="B691" s="17" t="s">
        <v>53</v>
      </c>
      <c r="C691" s="18">
        <v>44777</v>
      </c>
      <c r="D691" s="17">
        <v>201000000</v>
      </c>
      <c r="E691" s="17" t="s">
        <v>54</v>
      </c>
      <c r="F691" s="17">
        <v>204638100</v>
      </c>
      <c r="G691" s="17" t="s">
        <v>340</v>
      </c>
      <c r="H691" s="17" t="s">
        <v>382</v>
      </c>
      <c r="I691" s="17" t="s">
        <v>542</v>
      </c>
      <c r="J691" s="17">
        <v>2022</v>
      </c>
      <c r="K691" s="17">
        <v>0.20463809999999999</v>
      </c>
    </row>
    <row r="692" spans="1:11" x14ac:dyDescent="0.2">
      <c r="A692" s="15" t="s">
        <v>541</v>
      </c>
      <c r="B692" s="15" t="s">
        <v>53</v>
      </c>
      <c r="C692" s="16">
        <v>45007</v>
      </c>
      <c r="D692" s="15">
        <v>863000000</v>
      </c>
      <c r="E692" s="15" t="s">
        <v>54</v>
      </c>
      <c r="F692" s="15">
        <v>929746146</v>
      </c>
      <c r="G692" s="15" t="s">
        <v>340</v>
      </c>
      <c r="H692" s="15" t="s">
        <v>382</v>
      </c>
      <c r="I692" s="15" t="s">
        <v>542</v>
      </c>
      <c r="J692" s="15">
        <v>2023</v>
      </c>
      <c r="K692" s="15">
        <v>0.92974614600000005</v>
      </c>
    </row>
    <row r="693" spans="1:11" x14ac:dyDescent="0.2">
      <c r="A693" s="17" t="s">
        <v>541</v>
      </c>
      <c r="B693" s="17" t="s">
        <v>53</v>
      </c>
      <c r="C693" s="18">
        <v>44825</v>
      </c>
      <c r="D693" s="17">
        <v>4500000000</v>
      </c>
      <c r="E693" s="17" t="s">
        <v>54</v>
      </c>
      <c r="F693" s="17">
        <v>4457700000</v>
      </c>
      <c r="G693" s="17" t="s">
        <v>340</v>
      </c>
      <c r="H693" s="17" t="s">
        <v>382</v>
      </c>
      <c r="I693" s="17" t="s">
        <v>542</v>
      </c>
      <c r="J693" s="17">
        <v>2022</v>
      </c>
      <c r="K693" s="17">
        <v>4.4577</v>
      </c>
    </row>
    <row r="694" spans="1:11" x14ac:dyDescent="0.2">
      <c r="A694" s="15" t="s">
        <v>541</v>
      </c>
      <c r="B694" s="15" t="s">
        <v>53</v>
      </c>
      <c r="C694" s="16">
        <v>45371</v>
      </c>
      <c r="D694" s="15">
        <v>1087000000</v>
      </c>
      <c r="E694" s="15" t="s">
        <v>54</v>
      </c>
      <c r="F694" s="15">
        <v>1188842117</v>
      </c>
      <c r="G694" s="15" t="s">
        <v>340</v>
      </c>
      <c r="H694" s="15" t="s">
        <v>382</v>
      </c>
      <c r="I694" s="15" t="s">
        <v>542</v>
      </c>
      <c r="J694" s="15">
        <v>2024</v>
      </c>
      <c r="K694" s="15">
        <v>1.1888421170000001</v>
      </c>
    </row>
    <row r="695" spans="1:11" x14ac:dyDescent="0.2">
      <c r="A695" s="17" t="s">
        <v>541</v>
      </c>
      <c r="B695" s="17" t="s">
        <v>53</v>
      </c>
      <c r="C695" s="18">
        <v>45372</v>
      </c>
      <c r="D695" s="17">
        <v>167000000</v>
      </c>
      <c r="E695" s="17" t="s">
        <v>54</v>
      </c>
      <c r="F695" s="17">
        <v>181394565</v>
      </c>
      <c r="G695" s="17" t="s">
        <v>340</v>
      </c>
      <c r="H695" s="17" t="s">
        <v>382</v>
      </c>
      <c r="I695" s="17" t="s">
        <v>542</v>
      </c>
      <c r="J695" s="17">
        <v>2024</v>
      </c>
      <c r="K695" s="17">
        <v>0.18139456500000001</v>
      </c>
    </row>
    <row r="696" spans="1:11" x14ac:dyDescent="0.2">
      <c r="A696" s="15" t="s">
        <v>541</v>
      </c>
      <c r="B696" s="15" t="s">
        <v>53</v>
      </c>
      <c r="C696" s="16">
        <v>45376</v>
      </c>
      <c r="D696" s="15">
        <v>87000000</v>
      </c>
      <c r="E696" s="15" t="s">
        <v>54</v>
      </c>
      <c r="F696" s="15">
        <v>94290513</v>
      </c>
      <c r="G696" s="15" t="s">
        <v>340</v>
      </c>
      <c r="H696" s="15" t="s">
        <v>382</v>
      </c>
      <c r="I696" s="15" t="s">
        <v>542</v>
      </c>
      <c r="J696" s="15">
        <v>2024</v>
      </c>
      <c r="K696" s="15">
        <v>9.4290513000000006E-2</v>
      </c>
    </row>
    <row r="697" spans="1:11" x14ac:dyDescent="0.2">
      <c r="A697" s="17" t="s">
        <v>541</v>
      </c>
      <c r="B697" s="17" t="s">
        <v>53</v>
      </c>
      <c r="C697" s="18">
        <v>45225</v>
      </c>
      <c r="D697" s="17">
        <v>121000000</v>
      </c>
      <c r="E697" s="17" t="s">
        <v>54</v>
      </c>
      <c r="F697" s="17">
        <v>127826578</v>
      </c>
      <c r="G697" s="17" t="s">
        <v>340</v>
      </c>
      <c r="H697" s="17" t="s">
        <v>382</v>
      </c>
      <c r="I697" s="17" t="s">
        <v>542</v>
      </c>
      <c r="J697" s="17">
        <v>2023</v>
      </c>
      <c r="K697" s="17">
        <v>0.127826578</v>
      </c>
    </row>
    <row r="698" spans="1:11" x14ac:dyDescent="0.2">
      <c r="A698" s="15" t="s">
        <v>541</v>
      </c>
      <c r="B698" s="15" t="s">
        <v>53</v>
      </c>
      <c r="C698" s="16">
        <v>44382</v>
      </c>
      <c r="D698" s="15">
        <v>61000000</v>
      </c>
      <c r="E698" s="15" t="s">
        <v>54</v>
      </c>
      <c r="F698" s="15">
        <v>72382600</v>
      </c>
      <c r="G698" s="15" t="s">
        <v>340</v>
      </c>
      <c r="H698" s="15" t="s">
        <v>382</v>
      </c>
      <c r="I698" s="15" t="s">
        <v>542</v>
      </c>
      <c r="J698" s="15">
        <v>2021</v>
      </c>
      <c r="K698" s="15">
        <v>7.2382600000000005E-2</v>
      </c>
    </row>
    <row r="699" spans="1:11" x14ac:dyDescent="0.2">
      <c r="A699" s="17" t="s">
        <v>541</v>
      </c>
      <c r="B699" s="17" t="s">
        <v>53</v>
      </c>
      <c r="C699" s="18">
        <v>44378</v>
      </c>
      <c r="D699" s="17">
        <v>112000000</v>
      </c>
      <c r="E699" s="17" t="s">
        <v>54</v>
      </c>
      <c r="F699" s="17">
        <v>133100800</v>
      </c>
      <c r="G699" s="17" t="s">
        <v>340</v>
      </c>
      <c r="H699" s="17" t="s">
        <v>382</v>
      </c>
      <c r="I699" s="17" t="s">
        <v>542</v>
      </c>
      <c r="J699" s="17">
        <v>2021</v>
      </c>
      <c r="K699" s="17">
        <v>0.13310079999999999</v>
      </c>
    </row>
    <row r="700" spans="1:11" x14ac:dyDescent="0.2">
      <c r="A700" s="15" t="s">
        <v>541</v>
      </c>
      <c r="B700" s="15" t="s">
        <v>53</v>
      </c>
      <c r="C700" s="16">
        <v>44377</v>
      </c>
      <c r="D700" s="15">
        <v>590000000</v>
      </c>
      <c r="E700" s="15" t="s">
        <v>54</v>
      </c>
      <c r="F700" s="15">
        <v>701156000</v>
      </c>
      <c r="G700" s="15" t="s">
        <v>340</v>
      </c>
      <c r="H700" s="15" t="s">
        <v>382</v>
      </c>
      <c r="I700" s="15" t="s">
        <v>542</v>
      </c>
      <c r="J700" s="15">
        <v>2021</v>
      </c>
      <c r="K700" s="15">
        <v>0.701156</v>
      </c>
    </row>
    <row r="701" spans="1:11" x14ac:dyDescent="0.2">
      <c r="A701" s="17" t="s">
        <v>541</v>
      </c>
      <c r="B701" s="17" t="s">
        <v>53</v>
      </c>
      <c r="C701" s="18">
        <v>44251</v>
      </c>
      <c r="D701" s="17">
        <v>751000000</v>
      </c>
      <c r="E701" s="17" t="s">
        <v>54</v>
      </c>
      <c r="F701" s="17">
        <v>912164600</v>
      </c>
      <c r="G701" s="17" t="s">
        <v>340</v>
      </c>
      <c r="H701" s="17" t="s">
        <v>382</v>
      </c>
      <c r="I701" s="17" t="s">
        <v>542</v>
      </c>
      <c r="J701" s="17">
        <v>2021</v>
      </c>
      <c r="K701" s="17">
        <v>0.91216459999999999</v>
      </c>
    </row>
    <row r="702" spans="1:11" x14ac:dyDescent="0.2">
      <c r="A702" s="15" t="s">
        <v>541</v>
      </c>
      <c r="B702" s="15" t="s">
        <v>53</v>
      </c>
      <c r="C702" s="16">
        <v>44160</v>
      </c>
      <c r="D702" s="15">
        <v>697000000</v>
      </c>
      <c r="E702" s="15" t="s">
        <v>54</v>
      </c>
      <c r="F702" s="15">
        <v>828733000</v>
      </c>
      <c r="G702" s="15" t="s">
        <v>340</v>
      </c>
      <c r="H702" s="15" t="s">
        <v>382</v>
      </c>
      <c r="I702" s="15" t="s">
        <v>542</v>
      </c>
      <c r="J702" s="15">
        <v>2020</v>
      </c>
      <c r="K702" s="15">
        <v>0.82873300000000005</v>
      </c>
    </row>
    <row r="703" spans="1:11" x14ac:dyDescent="0.2">
      <c r="A703" s="17" t="s">
        <v>541</v>
      </c>
      <c r="B703" s="17" t="s">
        <v>53</v>
      </c>
      <c r="C703" s="18">
        <v>44098</v>
      </c>
      <c r="D703" s="17">
        <v>130000000</v>
      </c>
      <c r="E703" s="17" t="s">
        <v>54</v>
      </c>
      <c r="F703" s="17">
        <v>151385000</v>
      </c>
      <c r="G703" s="17" t="s">
        <v>340</v>
      </c>
      <c r="H703" s="17" t="s">
        <v>382</v>
      </c>
      <c r="I703" s="17" t="s">
        <v>542</v>
      </c>
      <c r="J703" s="17">
        <v>2020</v>
      </c>
      <c r="K703" s="17">
        <v>0.15138499999999999</v>
      </c>
    </row>
    <row r="704" spans="1:11" x14ac:dyDescent="0.2">
      <c r="A704" s="15" t="s">
        <v>541</v>
      </c>
      <c r="B704" s="15" t="s">
        <v>53</v>
      </c>
      <c r="C704" s="16">
        <v>44097</v>
      </c>
      <c r="D704" s="15">
        <v>608000000</v>
      </c>
      <c r="E704" s="15" t="s">
        <v>54</v>
      </c>
      <c r="F704" s="15">
        <v>710873600</v>
      </c>
      <c r="G704" s="15" t="s">
        <v>340</v>
      </c>
      <c r="H704" s="15" t="s">
        <v>382</v>
      </c>
      <c r="I704" s="15" t="s">
        <v>542</v>
      </c>
      <c r="J704" s="15">
        <v>2020</v>
      </c>
      <c r="K704" s="15">
        <v>0.71087359999999999</v>
      </c>
    </row>
    <row r="705" spans="1:11" x14ac:dyDescent="0.2">
      <c r="A705" s="17" t="s">
        <v>541</v>
      </c>
      <c r="B705" s="17" t="s">
        <v>53</v>
      </c>
      <c r="C705" s="18">
        <v>43948</v>
      </c>
      <c r="D705" s="17">
        <v>47000000</v>
      </c>
      <c r="E705" s="17" t="s">
        <v>54</v>
      </c>
      <c r="F705" s="17">
        <v>51004400</v>
      </c>
      <c r="G705" s="17" t="s">
        <v>340</v>
      </c>
      <c r="H705" s="17" t="s">
        <v>382</v>
      </c>
      <c r="I705" s="17" t="s">
        <v>542</v>
      </c>
      <c r="J705" s="17">
        <v>2020</v>
      </c>
      <c r="K705" s="17">
        <v>5.1004399999999998E-2</v>
      </c>
    </row>
    <row r="706" spans="1:11" x14ac:dyDescent="0.2">
      <c r="A706" s="15" t="s">
        <v>541</v>
      </c>
      <c r="B706" s="15" t="s">
        <v>53</v>
      </c>
      <c r="C706" s="16">
        <v>43943</v>
      </c>
      <c r="D706" s="15">
        <v>548000000</v>
      </c>
      <c r="E706" s="15" t="s">
        <v>54</v>
      </c>
      <c r="F706" s="15">
        <v>595511600</v>
      </c>
      <c r="G706" s="15" t="s">
        <v>340</v>
      </c>
      <c r="H706" s="15" t="s">
        <v>382</v>
      </c>
      <c r="I706" s="15" t="s">
        <v>542</v>
      </c>
      <c r="J706" s="15">
        <v>2020</v>
      </c>
      <c r="K706" s="15">
        <v>0.59551160000000003</v>
      </c>
    </row>
    <row r="707" spans="1:11" x14ac:dyDescent="0.2">
      <c r="A707" s="17" t="s">
        <v>541</v>
      </c>
      <c r="B707" s="17" t="s">
        <v>53</v>
      </c>
      <c r="C707" s="18">
        <v>43675</v>
      </c>
      <c r="D707" s="17">
        <v>112000000</v>
      </c>
      <c r="E707" s="17" t="s">
        <v>54</v>
      </c>
      <c r="F707" s="17">
        <v>124585440</v>
      </c>
      <c r="G707" s="17" t="s">
        <v>340</v>
      </c>
      <c r="H707" s="17" t="s">
        <v>382</v>
      </c>
      <c r="I707" s="17" t="s">
        <v>542</v>
      </c>
      <c r="J707" s="17">
        <v>2019</v>
      </c>
      <c r="K707" s="17">
        <v>0.12458544000000001</v>
      </c>
    </row>
    <row r="708" spans="1:11" x14ac:dyDescent="0.2">
      <c r="A708" s="15" t="s">
        <v>541</v>
      </c>
      <c r="B708" s="15" t="s">
        <v>53</v>
      </c>
      <c r="C708" s="16">
        <v>43671</v>
      </c>
      <c r="D708" s="15">
        <v>223000000</v>
      </c>
      <c r="E708" s="15" t="s">
        <v>54</v>
      </c>
      <c r="F708" s="15">
        <v>248479980</v>
      </c>
      <c r="G708" s="15" t="s">
        <v>340</v>
      </c>
      <c r="H708" s="15" t="s">
        <v>382</v>
      </c>
      <c r="I708" s="15" t="s">
        <v>542</v>
      </c>
      <c r="J708" s="15">
        <v>2019</v>
      </c>
      <c r="K708" s="15">
        <v>0.24847997999999999</v>
      </c>
    </row>
    <row r="709" spans="1:11" x14ac:dyDescent="0.2">
      <c r="A709" s="17" t="s">
        <v>541</v>
      </c>
      <c r="B709" s="17" t="s">
        <v>53</v>
      </c>
      <c r="C709" s="18">
        <v>43545</v>
      </c>
      <c r="D709" s="17">
        <v>209000000</v>
      </c>
      <c r="E709" s="17" t="s">
        <v>54</v>
      </c>
      <c r="F709" s="17">
        <v>237599560</v>
      </c>
      <c r="G709" s="17" t="s">
        <v>340</v>
      </c>
      <c r="H709" s="17" t="s">
        <v>382</v>
      </c>
      <c r="I709" s="17" t="s">
        <v>542</v>
      </c>
      <c r="J709" s="17">
        <v>2019</v>
      </c>
      <c r="K709" s="17">
        <v>0.23759955999999999</v>
      </c>
    </row>
    <row r="710" spans="1:11" x14ac:dyDescent="0.2">
      <c r="A710" s="15" t="s">
        <v>541</v>
      </c>
      <c r="B710" s="15" t="s">
        <v>53</v>
      </c>
      <c r="C710" s="16">
        <v>43544</v>
      </c>
      <c r="D710" s="15">
        <v>958000000</v>
      </c>
      <c r="E710" s="15" t="s">
        <v>54</v>
      </c>
      <c r="F710" s="15">
        <v>1087234200</v>
      </c>
      <c r="G710" s="15" t="s">
        <v>340</v>
      </c>
      <c r="H710" s="15" t="s">
        <v>382</v>
      </c>
      <c r="I710" s="15" t="s">
        <v>542</v>
      </c>
      <c r="J710" s="15">
        <v>2019</v>
      </c>
      <c r="K710" s="15">
        <v>1.0872341999999999</v>
      </c>
    </row>
    <row r="711" spans="1:11" x14ac:dyDescent="0.2">
      <c r="A711" s="17" t="s">
        <v>541</v>
      </c>
      <c r="B711" s="17" t="s">
        <v>53</v>
      </c>
      <c r="C711" s="18">
        <v>43164</v>
      </c>
      <c r="D711" s="17">
        <v>4500000000</v>
      </c>
      <c r="E711" s="17" t="s">
        <v>54</v>
      </c>
      <c r="F711" s="17">
        <v>5547600000</v>
      </c>
      <c r="G711" s="17" t="s">
        <v>340</v>
      </c>
      <c r="H711" s="17" t="s">
        <v>382</v>
      </c>
      <c r="I711" s="17" t="s">
        <v>542</v>
      </c>
      <c r="J711" s="17">
        <v>2018</v>
      </c>
      <c r="K711" s="17">
        <v>5.5476000000000001</v>
      </c>
    </row>
    <row r="712" spans="1:11" x14ac:dyDescent="0.2">
      <c r="A712" s="15" t="s">
        <v>398</v>
      </c>
      <c r="B712" s="15" t="s">
        <v>53</v>
      </c>
      <c r="C712" s="16">
        <v>45226</v>
      </c>
      <c r="D712" s="15">
        <v>1250000000</v>
      </c>
      <c r="E712" s="15" t="s">
        <v>54</v>
      </c>
      <c r="F712" s="15">
        <v>1322326250</v>
      </c>
      <c r="G712" s="15" t="s">
        <v>399</v>
      </c>
      <c r="H712" s="15" t="s">
        <v>382</v>
      </c>
      <c r="I712" s="15" t="s">
        <v>400</v>
      </c>
      <c r="J712" s="15">
        <v>2023</v>
      </c>
      <c r="K712" s="15">
        <v>1.3223262499999999</v>
      </c>
    </row>
    <row r="713" spans="1:11" x14ac:dyDescent="0.2">
      <c r="A713" s="17" t="s">
        <v>398</v>
      </c>
      <c r="B713" s="17" t="s">
        <v>53</v>
      </c>
      <c r="C713" s="18">
        <v>45316</v>
      </c>
      <c r="D713" s="17">
        <v>1250000000</v>
      </c>
      <c r="E713" s="17" t="s">
        <v>54</v>
      </c>
      <c r="F713" s="17">
        <v>1358363750</v>
      </c>
      <c r="G713" s="17" t="s">
        <v>399</v>
      </c>
      <c r="H713" s="17" t="s">
        <v>382</v>
      </c>
      <c r="I713" s="17" t="s">
        <v>400</v>
      </c>
      <c r="J713" s="17">
        <v>2024</v>
      </c>
      <c r="K713" s="17">
        <v>1.3583637500000001</v>
      </c>
    </row>
    <row r="714" spans="1:11" x14ac:dyDescent="0.2">
      <c r="A714" s="15" t="s">
        <v>398</v>
      </c>
      <c r="B714" s="15" t="s">
        <v>53</v>
      </c>
      <c r="C714" s="16">
        <v>44984</v>
      </c>
      <c r="D714" s="15">
        <v>100000000</v>
      </c>
      <c r="E714" s="15" t="s">
        <v>54</v>
      </c>
      <c r="F714" s="15">
        <v>106095100</v>
      </c>
      <c r="G714" s="15" t="s">
        <v>399</v>
      </c>
      <c r="H714" s="15" t="s">
        <v>382</v>
      </c>
      <c r="I714" s="15" t="s">
        <v>400</v>
      </c>
      <c r="J714" s="15">
        <v>2023</v>
      </c>
      <c r="K714" s="15">
        <v>0.1060951</v>
      </c>
    </row>
    <row r="715" spans="1:11" x14ac:dyDescent="0.2">
      <c r="A715" s="17" t="s">
        <v>398</v>
      </c>
      <c r="B715" s="17" t="s">
        <v>53</v>
      </c>
      <c r="C715" s="18">
        <v>45015</v>
      </c>
      <c r="D715" s="17">
        <v>45000000</v>
      </c>
      <c r="E715" s="17" t="s">
        <v>54</v>
      </c>
      <c r="F715" s="17">
        <v>49069845</v>
      </c>
      <c r="G715" s="17" t="s">
        <v>399</v>
      </c>
      <c r="H715" s="17" t="s">
        <v>382</v>
      </c>
      <c r="I715" s="17" t="s">
        <v>400</v>
      </c>
      <c r="J715" s="17">
        <v>2023</v>
      </c>
      <c r="K715" s="17">
        <v>4.9069845000000001E-2</v>
      </c>
    </row>
    <row r="716" spans="1:11" x14ac:dyDescent="0.2">
      <c r="A716" s="15" t="s">
        <v>398</v>
      </c>
      <c r="B716" s="15" t="s">
        <v>53</v>
      </c>
      <c r="C716" s="16">
        <v>45316</v>
      </c>
      <c r="D716" s="15">
        <v>1250000000</v>
      </c>
      <c r="E716" s="15" t="s">
        <v>54</v>
      </c>
      <c r="F716" s="15">
        <v>1357995000</v>
      </c>
      <c r="G716" s="15" t="s">
        <v>399</v>
      </c>
      <c r="H716" s="15" t="s">
        <v>382</v>
      </c>
      <c r="I716" s="15" t="s">
        <v>400</v>
      </c>
      <c r="J716" s="15">
        <v>2024</v>
      </c>
      <c r="K716" s="15">
        <v>1.3579950000000001</v>
      </c>
    </row>
    <row r="717" spans="1:11" x14ac:dyDescent="0.2">
      <c r="A717" s="17" t="s">
        <v>398</v>
      </c>
      <c r="B717" s="17" t="s">
        <v>53</v>
      </c>
      <c r="C717" s="18">
        <v>44854</v>
      </c>
      <c r="D717" s="17">
        <v>1000000000</v>
      </c>
      <c r="E717" s="17" t="s">
        <v>54</v>
      </c>
      <c r="F717" s="17">
        <v>973900000</v>
      </c>
      <c r="G717" s="17" t="s">
        <v>399</v>
      </c>
      <c r="H717" s="17" t="s">
        <v>382</v>
      </c>
      <c r="I717" s="17" t="s">
        <v>400</v>
      </c>
      <c r="J717" s="17">
        <v>2022</v>
      </c>
      <c r="K717" s="17">
        <v>0.97389999999999999</v>
      </c>
    </row>
    <row r="718" spans="1:11" x14ac:dyDescent="0.2">
      <c r="A718" s="15" t="s">
        <v>398</v>
      </c>
      <c r="B718" s="15" t="s">
        <v>53</v>
      </c>
      <c r="C718" s="16">
        <v>44980</v>
      </c>
      <c r="D718" s="15">
        <v>1009927000</v>
      </c>
      <c r="E718" s="15" t="s">
        <v>54</v>
      </c>
      <c r="F718" s="15">
        <v>1070348913</v>
      </c>
      <c r="G718" s="15" t="s">
        <v>399</v>
      </c>
      <c r="H718" s="15" t="s">
        <v>382</v>
      </c>
      <c r="I718" s="15" t="s">
        <v>400</v>
      </c>
      <c r="J718" s="15">
        <v>2023</v>
      </c>
      <c r="K718" s="15">
        <v>1.0703489129999999</v>
      </c>
    </row>
    <row r="719" spans="1:11" x14ac:dyDescent="0.2">
      <c r="A719" s="17" t="s">
        <v>398</v>
      </c>
      <c r="B719" s="17" t="s">
        <v>53</v>
      </c>
      <c r="C719" s="18">
        <v>45071</v>
      </c>
      <c r="D719" s="17">
        <v>1500000000</v>
      </c>
      <c r="E719" s="17" t="s">
        <v>54</v>
      </c>
      <c r="F719" s="17">
        <v>1653585000</v>
      </c>
      <c r="G719" s="17" t="s">
        <v>399</v>
      </c>
      <c r="H719" s="17" t="s">
        <v>382</v>
      </c>
      <c r="I719" s="17" t="s">
        <v>400</v>
      </c>
      <c r="J719" s="17">
        <v>2023</v>
      </c>
      <c r="K719" s="17">
        <v>1.6535850000000001</v>
      </c>
    </row>
    <row r="720" spans="1:11" x14ac:dyDescent="0.2">
      <c r="A720" s="15" t="s">
        <v>398</v>
      </c>
      <c r="B720" s="15" t="s">
        <v>53</v>
      </c>
      <c r="C720" s="16">
        <v>45289</v>
      </c>
      <c r="D720" s="15">
        <v>111438000</v>
      </c>
      <c r="E720" s="15" t="s">
        <v>54</v>
      </c>
      <c r="F720" s="15">
        <v>123189806</v>
      </c>
      <c r="G720" s="15" t="s">
        <v>399</v>
      </c>
      <c r="H720" s="15" t="s">
        <v>382</v>
      </c>
      <c r="I720" s="15" t="s">
        <v>400</v>
      </c>
      <c r="J720" s="15">
        <v>2023</v>
      </c>
      <c r="K720" s="15">
        <v>0.123189806</v>
      </c>
    </row>
    <row r="721" spans="1:11" x14ac:dyDescent="0.2">
      <c r="A721" s="17" t="s">
        <v>398</v>
      </c>
      <c r="B721" s="17" t="s">
        <v>53</v>
      </c>
      <c r="C721" s="18">
        <v>45259</v>
      </c>
      <c r="D721" s="17">
        <v>1825194600</v>
      </c>
      <c r="E721" s="17" t="s">
        <v>54</v>
      </c>
      <c r="F721" s="17">
        <v>2002813412</v>
      </c>
      <c r="G721" s="17" t="s">
        <v>399</v>
      </c>
      <c r="H721" s="17" t="s">
        <v>382</v>
      </c>
      <c r="I721" s="17" t="s">
        <v>400</v>
      </c>
      <c r="J721" s="17">
        <v>2023</v>
      </c>
      <c r="K721" s="17">
        <v>2.0028134120000001</v>
      </c>
    </row>
    <row r="722" spans="1:11" x14ac:dyDescent="0.2">
      <c r="A722" s="15" t="s">
        <v>398</v>
      </c>
      <c r="B722" s="15" t="s">
        <v>53</v>
      </c>
      <c r="C722" s="16">
        <v>45162</v>
      </c>
      <c r="D722" s="15">
        <v>1556323000</v>
      </c>
      <c r="E722" s="15" t="s">
        <v>54</v>
      </c>
      <c r="F722" s="15">
        <v>1680621849</v>
      </c>
      <c r="G722" s="15" t="s">
        <v>399</v>
      </c>
      <c r="H722" s="15" t="s">
        <v>382</v>
      </c>
      <c r="I722" s="15" t="s">
        <v>400</v>
      </c>
      <c r="J722" s="15">
        <v>2023</v>
      </c>
      <c r="K722" s="15">
        <v>1.680621849</v>
      </c>
    </row>
    <row r="723" spans="1:11" x14ac:dyDescent="0.2">
      <c r="A723" s="17" t="s">
        <v>398</v>
      </c>
      <c r="B723" s="17" t="s">
        <v>53</v>
      </c>
      <c r="C723" s="18">
        <v>45041</v>
      </c>
      <c r="D723" s="17">
        <v>3000000000</v>
      </c>
      <c r="E723" s="17" t="s">
        <v>54</v>
      </c>
      <c r="F723" s="17">
        <v>3292254000</v>
      </c>
      <c r="G723" s="17" t="s">
        <v>399</v>
      </c>
      <c r="H723" s="17" t="s">
        <v>382</v>
      </c>
      <c r="I723" s="17" t="s">
        <v>400</v>
      </c>
      <c r="J723" s="17">
        <v>2023</v>
      </c>
      <c r="K723" s="17">
        <v>3.2922539999999998</v>
      </c>
    </row>
    <row r="724" spans="1:11" x14ac:dyDescent="0.2">
      <c r="A724" s="15" t="s">
        <v>398</v>
      </c>
      <c r="B724" s="15" t="s">
        <v>53</v>
      </c>
      <c r="C724" s="16">
        <v>45001</v>
      </c>
      <c r="D724" s="15">
        <v>50000000</v>
      </c>
      <c r="E724" s="15" t="s">
        <v>54</v>
      </c>
      <c r="F724" s="15">
        <v>53047500</v>
      </c>
      <c r="G724" s="15" t="s">
        <v>399</v>
      </c>
      <c r="H724" s="15" t="s">
        <v>382</v>
      </c>
      <c r="I724" s="15" t="s">
        <v>400</v>
      </c>
      <c r="J724" s="15">
        <v>2023</v>
      </c>
      <c r="K724" s="15">
        <v>5.3047499999999997E-2</v>
      </c>
    </row>
    <row r="725" spans="1:11" x14ac:dyDescent="0.2">
      <c r="A725" s="17" t="s">
        <v>398</v>
      </c>
      <c r="B725" s="17" t="s">
        <v>53</v>
      </c>
      <c r="C725" s="18">
        <v>45369</v>
      </c>
      <c r="D725" s="17">
        <v>150000000</v>
      </c>
      <c r="E725" s="17" t="s">
        <v>54</v>
      </c>
      <c r="F725" s="17">
        <v>163101900</v>
      </c>
      <c r="G725" s="17" t="s">
        <v>399</v>
      </c>
      <c r="H725" s="17" t="s">
        <v>382</v>
      </c>
      <c r="I725" s="17" t="s">
        <v>400</v>
      </c>
      <c r="J725" s="17">
        <v>2024</v>
      </c>
      <c r="K725" s="17">
        <v>0.16310189999999999</v>
      </c>
    </row>
    <row r="726" spans="1:11" x14ac:dyDescent="0.2">
      <c r="A726" s="15" t="s">
        <v>398</v>
      </c>
      <c r="B726" s="15" t="s">
        <v>53</v>
      </c>
      <c r="C726" s="16">
        <v>45351</v>
      </c>
      <c r="D726" s="15">
        <v>1856150000</v>
      </c>
      <c r="E726" s="15" t="s">
        <v>54</v>
      </c>
      <c r="F726" s="15">
        <v>2005466131</v>
      </c>
      <c r="G726" s="15" t="s">
        <v>399</v>
      </c>
      <c r="H726" s="15" t="s">
        <v>382</v>
      </c>
      <c r="I726" s="15" t="s">
        <v>400</v>
      </c>
      <c r="J726" s="15">
        <v>2024</v>
      </c>
      <c r="K726" s="15">
        <v>2.0054661309999999</v>
      </c>
    </row>
    <row r="727" spans="1:11" x14ac:dyDescent="0.2">
      <c r="A727" s="17" t="s">
        <v>398</v>
      </c>
      <c r="B727" s="17" t="s">
        <v>53</v>
      </c>
      <c r="C727" s="18">
        <v>44986</v>
      </c>
      <c r="D727" s="17">
        <v>160000000</v>
      </c>
      <c r="E727" s="17" t="s">
        <v>54</v>
      </c>
      <c r="F727" s="17">
        <v>170704960</v>
      </c>
      <c r="G727" s="17" t="s">
        <v>399</v>
      </c>
      <c r="H727" s="17" t="s">
        <v>382</v>
      </c>
      <c r="I727" s="17" t="s">
        <v>400</v>
      </c>
      <c r="J727" s="17">
        <v>2023</v>
      </c>
      <c r="K727" s="17">
        <v>0.17070495999999999</v>
      </c>
    </row>
    <row r="728" spans="1:11" x14ac:dyDescent="0.2">
      <c r="A728" s="15" t="s">
        <v>398</v>
      </c>
      <c r="B728" s="15" t="s">
        <v>53</v>
      </c>
      <c r="C728" s="16">
        <v>44712</v>
      </c>
      <c r="D728" s="15">
        <v>4000000000</v>
      </c>
      <c r="E728" s="15" t="s">
        <v>54</v>
      </c>
      <c r="F728" s="15">
        <v>4285200000</v>
      </c>
      <c r="G728" s="15" t="s">
        <v>399</v>
      </c>
      <c r="H728" s="15" t="s">
        <v>382</v>
      </c>
      <c r="I728" s="15" t="s">
        <v>400</v>
      </c>
      <c r="J728" s="15">
        <v>2022</v>
      </c>
      <c r="K728" s="15">
        <v>4.2851999999999997</v>
      </c>
    </row>
    <row r="729" spans="1:11" x14ac:dyDescent="0.2">
      <c r="A729" s="17" t="s">
        <v>543</v>
      </c>
      <c r="B729" s="17" t="s">
        <v>68</v>
      </c>
      <c r="C729" s="18">
        <v>45253</v>
      </c>
      <c r="D729" s="17">
        <v>44291808266</v>
      </c>
      <c r="E729" s="17" t="s">
        <v>544</v>
      </c>
      <c r="F729" s="17">
        <v>124339065</v>
      </c>
      <c r="G729" s="17" t="s">
        <v>345</v>
      </c>
      <c r="H729" s="17" t="s">
        <v>382</v>
      </c>
      <c r="I729" s="17" t="s">
        <v>545</v>
      </c>
      <c r="J729" s="17">
        <v>2023</v>
      </c>
      <c r="K729" s="17">
        <v>0.124339065</v>
      </c>
    </row>
    <row r="730" spans="1:11" x14ac:dyDescent="0.2">
      <c r="A730" s="15" t="s">
        <v>543</v>
      </c>
      <c r="B730" s="15" t="s">
        <v>68</v>
      </c>
      <c r="C730" s="16">
        <v>45260</v>
      </c>
      <c r="D730" s="15">
        <v>111059119142</v>
      </c>
      <c r="E730" s="15" t="s">
        <v>544</v>
      </c>
      <c r="F730" s="15">
        <v>308718808</v>
      </c>
      <c r="G730" s="15" t="s">
        <v>345</v>
      </c>
      <c r="H730" s="15" t="s">
        <v>382</v>
      </c>
      <c r="I730" s="15" t="s">
        <v>545</v>
      </c>
      <c r="J730" s="15">
        <v>2023</v>
      </c>
      <c r="K730" s="15">
        <v>0.30871880800000001</v>
      </c>
    </row>
    <row r="731" spans="1:11" x14ac:dyDescent="0.2">
      <c r="A731" s="17" t="s">
        <v>546</v>
      </c>
      <c r="B731" s="17" t="s">
        <v>68</v>
      </c>
      <c r="C731" s="18">
        <v>45216</v>
      </c>
      <c r="D731" s="17">
        <v>3500000000</v>
      </c>
      <c r="E731" s="17" t="s">
        <v>89</v>
      </c>
      <c r="F731" s="17">
        <v>478618931</v>
      </c>
      <c r="G731" s="17" t="s">
        <v>439</v>
      </c>
      <c r="H731" s="17" t="s">
        <v>382</v>
      </c>
      <c r="I731" s="17" t="s">
        <v>547</v>
      </c>
      <c r="J731" s="17">
        <v>2023</v>
      </c>
      <c r="K731" s="17">
        <v>0.47861893100000003</v>
      </c>
    </row>
    <row r="732" spans="1:11" x14ac:dyDescent="0.2">
      <c r="A732" s="15" t="s">
        <v>494</v>
      </c>
      <c r="B732" s="15" t="s">
        <v>53</v>
      </c>
      <c r="C732" s="16">
        <v>43090</v>
      </c>
      <c r="D732" s="15">
        <v>10690000000</v>
      </c>
      <c r="E732" s="15" t="s">
        <v>495</v>
      </c>
      <c r="F732" s="15">
        <v>29720000</v>
      </c>
      <c r="G732" s="15" t="s">
        <v>496</v>
      </c>
      <c r="H732" s="15" t="s">
        <v>382</v>
      </c>
      <c r="I732" s="15" t="s">
        <v>497</v>
      </c>
      <c r="J732" s="15">
        <v>2017</v>
      </c>
      <c r="K732" s="15">
        <v>2.972E-2</v>
      </c>
    </row>
    <row r="733" spans="1:11" x14ac:dyDescent="0.2">
      <c r="A733" s="17" t="s">
        <v>548</v>
      </c>
      <c r="B733" s="17" t="s">
        <v>53</v>
      </c>
      <c r="C733" s="18">
        <v>44076</v>
      </c>
      <c r="D733" s="17">
        <v>35000000</v>
      </c>
      <c r="E733" s="17" t="s">
        <v>54</v>
      </c>
      <c r="F733" s="17">
        <v>41513500</v>
      </c>
      <c r="G733" s="17" t="s">
        <v>549</v>
      </c>
      <c r="H733" s="17" t="s">
        <v>382</v>
      </c>
      <c r="I733" s="17" t="s">
        <v>550</v>
      </c>
      <c r="J733" s="17">
        <v>2020</v>
      </c>
      <c r="K733" s="17">
        <v>4.1513500000000002E-2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Normal="100" workbookViewId="0">
      <pane ySplit="4" topLeftCell="A5" activePane="bottomLeft" state="frozen"/>
      <selection pane="bottomLeft" activeCell="H38" sqref="H38"/>
    </sheetView>
  </sheetViews>
  <sheetFormatPr baseColWidth="10" defaultColWidth="8.6640625" defaultRowHeight="15" x14ac:dyDescent="0.2"/>
  <cols>
    <col min="1" max="7" width="14" customWidth="1"/>
  </cols>
  <sheetData>
    <row r="1" spans="1:7" ht="27.75" customHeight="1" x14ac:dyDescent="0.2">
      <c r="A1" s="5" t="s">
        <v>551</v>
      </c>
      <c r="B1" s="5"/>
      <c r="C1" s="5"/>
      <c r="D1" s="5"/>
      <c r="E1" s="5"/>
      <c r="F1" s="5"/>
      <c r="G1" s="5"/>
    </row>
    <row r="2" spans="1:7" ht="15.75" customHeight="1" x14ac:dyDescent="0.2">
      <c r="A2" s="4" t="s">
        <v>552</v>
      </c>
      <c r="B2" s="4"/>
      <c r="C2" s="4"/>
      <c r="D2" s="4"/>
      <c r="E2" s="4"/>
      <c r="F2" s="4"/>
      <c r="G2" s="4"/>
    </row>
    <row r="4" spans="1:7" x14ac:dyDescent="0.2">
      <c r="A4" s="6" t="s">
        <v>553</v>
      </c>
      <c r="B4" s="6"/>
      <c r="C4" s="6"/>
      <c r="D4" s="6"/>
      <c r="E4" s="6"/>
      <c r="F4" s="6"/>
      <c r="G4" s="6"/>
    </row>
    <row r="5" spans="1:7" ht="19.5" customHeight="1" x14ac:dyDescent="0.2">
      <c r="A5" s="41">
        <v>2018</v>
      </c>
      <c r="B5" s="41">
        <v>2019</v>
      </c>
      <c r="C5" s="41">
        <v>2020</v>
      </c>
      <c r="D5" s="41">
        <v>2021</v>
      </c>
      <c r="E5" s="41">
        <v>2022</v>
      </c>
      <c r="F5" s="41">
        <v>2023</v>
      </c>
      <c r="G5" s="41">
        <v>2024</v>
      </c>
    </row>
    <row r="6" spans="1:7" ht="21.75" customHeight="1" x14ac:dyDescent="0.2">
      <c r="A6" s="20">
        <v>17.57</v>
      </c>
      <c r="B6" s="20">
        <v>25.16</v>
      </c>
      <c r="C6" s="20">
        <v>44.88</v>
      </c>
      <c r="D6" s="20">
        <v>128.38</v>
      </c>
      <c r="E6" s="20">
        <v>140.35</v>
      </c>
      <c r="F6" s="20">
        <v>184.53</v>
      </c>
      <c r="G6" s="20">
        <v>97.28</v>
      </c>
    </row>
    <row r="7" spans="1:7" x14ac:dyDescent="0.2">
      <c r="A7" s="21" t="s">
        <v>554</v>
      </c>
      <c r="B7" s="22">
        <f t="shared" ref="B7:G7" si="0">IF(AND(A6&gt;0,B6&gt;0),(B6-A6)/A6,"")</f>
        <v>0.4319863403528742</v>
      </c>
      <c r="C7" s="22">
        <f t="shared" si="0"/>
        <v>0.78378378378378388</v>
      </c>
      <c r="D7" s="22">
        <f t="shared" si="0"/>
        <v>1.8605169340463457</v>
      </c>
      <c r="E7" s="22">
        <f t="shared" si="0"/>
        <v>9.3238822246455827E-2</v>
      </c>
      <c r="F7" s="22">
        <f t="shared" si="0"/>
        <v>0.31478446740292132</v>
      </c>
      <c r="G7" s="22">
        <f t="shared" si="0"/>
        <v>-0.47282284723351214</v>
      </c>
    </row>
    <row r="8" spans="1:7" x14ac:dyDescent="0.2">
      <c r="A8" s="23">
        <v>10</v>
      </c>
      <c r="B8" s="23">
        <v>20</v>
      </c>
      <c r="C8" s="23">
        <v>36</v>
      </c>
      <c r="D8" s="23">
        <v>85</v>
      </c>
      <c r="E8" s="23">
        <v>169</v>
      </c>
      <c r="F8" s="23">
        <v>238</v>
      </c>
      <c r="G8" s="23">
        <v>165</v>
      </c>
    </row>
    <row r="28" spans="1:7" x14ac:dyDescent="0.2">
      <c r="A28" s="6" t="s">
        <v>555</v>
      </c>
      <c r="B28" s="6"/>
      <c r="C28" s="6"/>
      <c r="D28" s="6"/>
      <c r="E28" s="6"/>
      <c r="F28" s="6"/>
      <c r="G28" s="6"/>
    </row>
    <row r="29" spans="1:7" x14ac:dyDescent="0.2">
      <c r="A29" s="19" t="s">
        <v>42</v>
      </c>
      <c r="B29" s="19" t="s">
        <v>556</v>
      </c>
      <c r="C29" s="19" t="s">
        <v>557</v>
      </c>
      <c r="D29" s="19" t="s">
        <v>558</v>
      </c>
    </row>
    <row r="30" spans="1:7" x14ac:dyDescent="0.2">
      <c r="A30" s="24" t="s">
        <v>53</v>
      </c>
      <c r="B30" s="25">
        <v>527.72</v>
      </c>
      <c r="C30" s="26">
        <v>490</v>
      </c>
      <c r="D30" s="27">
        <f>B30/SUM($B$30:$B$33)</f>
        <v>0.81182696449449254</v>
      </c>
    </row>
    <row r="31" spans="1:7" x14ac:dyDescent="0.2">
      <c r="A31" s="28" t="s">
        <v>68</v>
      </c>
      <c r="B31" s="29">
        <v>72.489999999999995</v>
      </c>
      <c r="C31" s="30">
        <v>109</v>
      </c>
      <c r="D31" s="31">
        <f>B31/SUM($B$30:$B$33)</f>
        <v>0.11151621438680695</v>
      </c>
    </row>
    <row r="32" spans="1:7" x14ac:dyDescent="0.2">
      <c r="A32" s="24" t="s">
        <v>434</v>
      </c>
      <c r="B32" s="25">
        <v>27.62</v>
      </c>
      <c r="C32" s="26">
        <v>25</v>
      </c>
      <c r="D32" s="27">
        <f>B32/SUM($B$30:$B$33)</f>
        <v>4.2489692941972801E-2</v>
      </c>
    </row>
    <row r="33" spans="1:4" x14ac:dyDescent="0.2">
      <c r="A33" s="28" t="s">
        <v>174</v>
      </c>
      <c r="B33" s="29">
        <v>22.21</v>
      </c>
      <c r="C33" s="30">
        <v>108</v>
      </c>
      <c r="D33" s="31">
        <f>B33/SUM($B$30:$B$33)</f>
        <v>3.4167128176727582E-2</v>
      </c>
    </row>
  </sheetData>
  <mergeCells count="4">
    <mergeCell ref="A1:G1"/>
    <mergeCell ref="A2:G2"/>
    <mergeCell ref="A4:G4"/>
    <mergeCell ref="A28:G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20" customWidth="1"/>
    <col min="2" max="2" width="14" customWidth="1"/>
    <col min="3" max="3" width="12" customWidth="1"/>
    <col min="4" max="4" width="2" customWidth="1"/>
    <col min="5" max="5" width="14" customWidth="1"/>
  </cols>
  <sheetData>
    <row r="1" spans="1:6" ht="27.75" customHeight="1" x14ac:dyDescent="0.2">
      <c r="A1" s="5" t="s">
        <v>559</v>
      </c>
      <c r="B1" s="5"/>
      <c r="C1" s="5"/>
      <c r="D1" s="5"/>
      <c r="E1" s="5"/>
      <c r="F1" s="5"/>
    </row>
    <row r="2" spans="1:6" x14ac:dyDescent="0.2">
      <c r="A2" s="4" t="s">
        <v>560</v>
      </c>
      <c r="B2" s="4"/>
      <c r="C2" s="4"/>
      <c r="D2" s="4"/>
      <c r="E2" s="4"/>
      <c r="F2" s="4"/>
    </row>
    <row r="4" spans="1:6" x14ac:dyDescent="0.2">
      <c r="A4" s="6" t="s">
        <v>561</v>
      </c>
      <c r="B4" s="6"/>
      <c r="C4" s="6"/>
    </row>
    <row r="5" spans="1:6" x14ac:dyDescent="0.2">
      <c r="A5" s="19" t="s">
        <v>47</v>
      </c>
      <c r="B5" s="19" t="s">
        <v>562</v>
      </c>
      <c r="C5" s="19" t="s">
        <v>558</v>
      </c>
    </row>
    <row r="6" spans="1:6" x14ac:dyDescent="0.2">
      <c r="A6" s="24" t="s">
        <v>55</v>
      </c>
      <c r="B6" s="25">
        <v>95.17</v>
      </c>
      <c r="C6" s="27">
        <f t="shared" ref="C6:C15" si="0">B6/SUM($B$6:$B$15)</f>
        <v>0.21056241426611796</v>
      </c>
    </row>
    <row r="7" spans="1:6" x14ac:dyDescent="0.2">
      <c r="A7" s="28" t="s">
        <v>138</v>
      </c>
      <c r="B7" s="29">
        <v>82.18</v>
      </c>
      <c r="C7" s="31">
        <f t="shared" si="0"/>
        <v>0.181822204522324</v>
      </c>
    </row>
    <row r="8" spans="1:6" x14ac:dyDescent="0.2">
      <c r="A8" s="24" t="s">
        <v>517</v>
      </c>
      <c r="B8" s="25">
        <v>59.34</v>
      </c>
      <c r="C8" s="27">
        <f t="shared" si="0"/>
        <v>0.13128899508827824</v>
      </c>
    </row>
    <row r="9" spans="1:6" x14ac:dyDescent="0.2">
      <c r="A9" s="28" t="s">
        <v>109</v>
      </c>
      <c r="B9" s="29">
        <v>45.92</v>
      </c>
      <c r="C9" s="31">
        <f t="shared" si="0"/>
        <v>0.10159741581485907</v>
      </c>
    </row>
    <row r="10" spans="1:6" x14ac:dyDescent="0.2">
      <c r="A10" s="24" t="s">
        <v>226</v>
      </c>
      <c r="B10" s="25">
        <v>37.549999999999997</v>
      </c>
      <c r="C10" s="27">
        <f t="shared" si="0"/>
        <v>8.3078897296340534E-2</v>
      </c>
    </row>
    <row r="11" spans="1:6" x14ac:dyDescent="0.2">
      <c r="A11" s="28" t="s">
        <v>60</v>
      </c>
      <c r="B11" s="29">
        <v>33.07</v>
      </c>
      <c r="C11" s="31">
        <f t="shared" si="0"/>
        <v>7.3166954290012826E-2</v>
      </c>
    </row>
    <row r="12" spans="1:6" x14ac:dyDescent="0.2">
      <c r="A12" s="24" t="s">
        <v>76</v>
      </c>
      <c r="B12" s="25">
        <v>28.81</v>
      </c>
      <c r="C12" s="27">
        <f t="shared" si="0"/>
        <v>6.3741758484888708E-2</v>
      </c>
    </row>
    <row r="13" spans="1:6" x14ac:dyDescent="0.2">
      <c r="A13" s="28" t="s">
        <v>105</v>
      </c>
      <c r="B13" s="29">
        <v>26.87</v>
      </c>
      <c r="C13" s="31">
        <f t="shared" si="0"/>
        <v>5.9449533165184303E-2</v>
      </c>
    </row>
    <row r="14" spans="1:6" x14ac:dyDescent="0.2">
      <c r="A14" s="24" t="s">
        <v>399</v>
      </c>
      <c r="B14" s="25">
        <v>21.79</v>
      </c>
      <c r="C14" s="27">
        <f t="shared" si="0"/>
        <v>4.8210097791937689E-2</v>
      </c>
    </row>
    <row r="15" spans="1:6" x14ac:dyDescent="0.2">
      <c r="A15" s="28" t="s">
        <v>340</v>
      </c>
      <c r="B15" s="29">
        <v>21.28</v>
      </c>
      <c r="C15" s="31">
        <f t="shared" si="0"/>
        <v>4.708172928005664E-2</v>
      </c>
    </row>
    <row r="18" spans="1:3" x14ac:dyDescent="0.2">
      <c r="A18" s="6" t="s">
        <v>563</v>
      </c>
      <c r="B18" s="6"/>
      <c r="C18" s="6"/>
    </row>
    <row r="19" spans="1:3" x14ac:dyDescent="0.2">
      <c r="A19" s="19" t="s">
        <v>48</v>
      </c>
      <c r="B19" s="19" t="s">
        <v>562</v>
      </c>
      <c r="C19" s="19" t="s">
        <v>557</v>
      </c>
    </row>
    <row r="20" spans="1:3" x14ac:dyDescent="0.2">
      <c r="A20" s="24" t="s">
        <v>382</v>
      </c>
      <c r="B20" s="25">
        <v>535.84</v>
      </c>
      <c r="C20" s="26">
        <v>444</v>
      </c>
    </row>
    <row r="21" spans="1:3" x14ac:dyDescent="0.2">
      <c r="A21" s="28" t="s">
        <v>61</v>
      </c>
      <c r="B21" s="29">
        <v>32.479999999999997</v>
      </c>
      <c r="C21" s="30">
        <v>39</v>
      </c>
    </row>
    <row r="22" spans="1:3" x14ac:dyDescent="0.2">
      <c r="A22" s="24" t="s">
        <v>77</v>
      </c>
      <c r="B22" s="25">
        <v>12.07</v>
      </c>
      <c r="C22" s="26">
        <v>26</v>
      </c>
    </row>
    <row r="23" spans="1:3" x14ac:dyDescent="0.2">
      <c r="A23" s="28" t="s">
        <v>93</v>
      </c>
      <c r="B23" s="29">
        <v>6.31</v>
      </c>
      <c r="C23" s="30">
        <v>6</v>
      </c>
    </row>
    <row r="24" spans="1:3" x14ac:dyDescent="0.2">
      <c r="A24" s="24" t="s">
        <v>83</v>
      </c>
      <c r="B24" s="25">
        <v>5.14</v>
      </c>
      <c r="C24" s="26">
        <v>6</v>
      </c>
    </row>
    <row r="25" spans="1:3" x14ac:dyDescent="0.2">
      <c r="A25" s="28" t="s">
        <v>189</v>
      </c>
      <c r="B25" s="29">
        <v>4.17</v>
      </c>
      <c r="C25" s="30">
        <v>8</v>
      </c>
    </row>
    <row r="26" spans="1:3" x14ac:dyDescent="0.2">
      <c r="A26" s="24" t="s">
        <v>209</v>
      </c>
      <c r="B26" s="25">
        <v>3.61</v>
      </c>
      <c r="C26" s="26">
        <v>27</v>
      </c>
    </row>
    <row r="27" spans="1:3" x14ac:dyDescent="0.2">
      <c r="A27" s="28" t="s">
        <v>181</v>
      </c>
      <c r="B27" s="29">
        <v>3.32</v>
      </c>
      <c r="C27" s="30">
        <v>23</v>
      </c>
    </row>
    <row r="28" spans="1:3" x14ac:dyDescent="0.2">
      <c r="A28" s="24" t="s">
        <v>148</v>
      </c>
      <c r="B28" s="25">
        <v>2.7</v>
      </c>
      <c r="C28" s="26">
        <v>4</v>
      </c>
    </row>
    <row r="29" spans="1:3" x14ac:dyDescent="0.2">
      <c r="A29" s="28" t="s">
        <v>110</v>
      </c>
      <c r="B29" s="29">
        <v>2.4900000000000002</v>
      </c>
      <c r="C29" s="30">
        <v>7</v>
      </c>
    </row>
  </sheetData>
  <mergeCells count="4">
    <mergeCell ref="A1:F1"/>
    <mergeCell ref="A2:F2"/>
    <mergeCell ref="A4:C4"/>
    <mergeCell ref="A18:C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zoomScaleNormal="100" workbookViewId="0">
      <selection activeCell="I16" sqref="I16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4" width="14" customWidth="1"/>
    <col min="5" max="5" width="20.33203125" customWidth="1"/>
    <col min="6" max="6" width="28" customWidth="1"/>
    <col min="7" max="7" width="10.6640625" customWidth="1"/>
    <col min="8" max="8" width="27" customWidth="1"/>
    <col min="9" max="9" width="25.33203125" customWidth="1"/>
    <col min="10" max="10" width="27.6640625" customWidth="1"/>
  </cols>
  <sheetData>
    <row r="1" spans="1:10" ht="27.75" customHeight="1" x14ac:dyDescent="0.2">
      <c r="A1" s="5" t="s">
        <v>564</v>
      </c>
      <c r="B1" s="5"/>
      <c r="C1" s="5"/>
      <c r="D1" s="5"/>
      <c r="E1" s="5"/>
      <c r="F1" s="5"/>
    </row>
    <row r="2" spans="1:10" x14ac:dyDescent="0.2">
      <c r="A2" s="3" t="s">
        <v>565</v>
      </c>
      <c r="B2" s="3"/>
      <c r="C2" s="3"/>
      <c r="D2" s="3"/>
      <c r="E2" s="3"/>
      <c r="F2" s="3"/>
    </row>
    <row r="4" spans="1:10" x14ac:dyDescent="0.2">
      <c r="A4" s="6" t="s">
        <v>566</v>
      </c>
      <c r="B4" s="6"/>
      <c r="C4" s="6"/>
      <c r="D4" s="6"/>
      <c r="E4" s="6"/>
      <c r="F4" s="6"/>
      <c r="H4" s="10" t="s">
        <v>567</v>
      </c>
    </row>
    <row r="5" spans="1:10" x14ac:dyDescent="0.2">
      <c r="A5" s="19" t="s">
        <v>50</v>
      </c>
      <c r="B5" s="19" t="s">
        <v>568</v>
      </c>
      <c r="C5" s="19" t="s">
        <v>569</v>
      </c>
      <c r="D5" s="19" t="s">
        <v>570</v>
      </c>
      <c r="H5" s="19" t="s">
        <v>571</v>
      </c>
      <c r="I5" s="19" t="s">
        <v>556</v>
      </c>
      <c r="J5" s="19" t="s">
        <v>47</v>
      </c>
    </row>
    <row r="6" spans="1:10" x14ac:dyDescent="0.2">
      <c r="A6" s="26">
        <v>2018</v>
      </c>
      <c r="B6" s="25">
        <v>17.57</v>
      </c>
      <c r="C6" s="25">
        <v>0</v>
      </c>
      <c r="D6" s="27">
        <f t="shared" ref="D6:D12" si="0">IF((B6+C6)&gt;0,C6/(B6+C6),0)</f>
        <v>0</v>
      </c>
      <c r="H6" s="24" t="s">
        <v>223</v>
      </c>
      <c r="I6" s="25">
        <v>1.97</v>
      </c>
      <c r="J6" s="26" t="s">
        <v>219</v>
      </c>
    </row>
    <row r="7" spans="1:10" x14ac:dyDescent="0.2">
      <c r="A7" s="30">
        <v>2019</v>
      </c>
      <c r="B7" s="29">
        <v>24.66</v>
      </c>
      <c r="C7" s="29">
        <v>0</v>
      </c>
      <c r="D7" s="31">
        <f t="shared" si="0"/>
        <v>0</v>
      </c>
      <c r="H7" s="28" t="s">
        <v>205</v>
      </c>
      <c r="I7" s="29">
        <v>1.85</v>
      </c>
      <c r="J7" s="30" t="s">
        <v>109</v>
      </c>
    </row>
    <row r="8" spans="1:10" x14ac:dyDescent="0.2">
      <c r="A8" s="26">
        <v>2020</v>
      </c>
      <c r="B8" s="25">
        <v>37.92</v>
      </c>
      <c r="C8" s="25">
        <v>0</v>
      </c>
      <c r="D8" s="27">
        <f t="shared" si="0"/>
        <v>0</v>
      </c>
      <c r="H8" s="24" t="s">
        <v>211</v>
      </c>
      <c r="I8" s="25">
        <v>1.1100000000000001</v>
      </c>
      <c r="J8" s="26" t="s">
        <v>212</v>
      </c>
    </row>
    <row r="9" spans="1:10" x14ac:dyDescent="0.2">
      <c r="A9" s="30">
        <v>2021</v>
      </c>
      <c r="B9" s="29">
        <v>92.21</v>
      </c>
      <c r="C9" s="29">
        <v>3.36</v>
      </c>
      <c r="D9" s="31">
        <f t="shared" si="0"/>
        <v>3.515747619545883E-2</v>
      </c>
      <c r="H9" s="28" t="s">
        <v>198</v>
      </c>
      <c r="I9" s="29">
        <v>1.0900000000000001</v>
      </c>
      <c r="J9" s="30" t="s">
        <v>109</v>
      </c>
    </row>
    <row r="10" spans="1:10" x14ac:dyDescent="0.2">
      <c r="A10" s="26">
        <v>2022</v>
      </c>
      <c r="B10" s="25">
        <v>118.19</v>
      </c>
      <c r="C10" s="25">
        <v>1.69</v>
      </c>
      <c r="D10" s="27">
        <f t="shared" si="0"/>
        <v>1.409743076409743E-2</v>
      </c>
      <c r="H10" s="24" t="s">
        <v>200</v>
      </c>
      <c r="I10" s="25">
        <v>1.0900000000000001</v>
      </c>
      <c r="J10" s="26" t="s">
        <v>109</v>
      </c>
    </row>
    <row r="11" spans="1:10" x14ac:dyDescent="0.2">
      <c r="A11" s="30">
        <v>2023</v>
      </c>
      <c r="B11" s="29">
        <v>148.72999999999999</v>
      </c>
      <c r="C11" s="29">
        <v>5.31</v>
      </c>
      <c r="D11" s="31">
        <f t="shared" si="0"/>
        <v>3.4471565827057904E-2</v>
      </c>
      <c r="H11" s="28" t="s">
        <v>221</v>
      </c>
      <c r="I11" s="29">
        <v>1</v>
      </c>
      <c r="J11" s="30" t="s">
        <v>219</v>
      </c>
    </row>
    <row r="12" spans="1:10" x14ac:dyDescent="0.2">
      <c r="A12" s="26">
        <v>2024</v>
      </c>
      <c r="B12" s="25">
        <v>76.87</v>
      </c>
      <c r="C12" s="25">
        <v>11.52</v>
      </c>
      <c r="D12" s="27">
        <f t="shared" si="0"/>
        <v>0.13033148546215634</v>
      </c>
      <c r="H12" s="24" t="s">
        <v>203</v>
      </c>
      <c r="I12" s="25">
        <v>0.92</v>
      </c>
      <c r="J12" s="26" t="s">
        <v>138</v>
      </c>
    </row>
    <row r="13" spans="1:10" x14ac:dyDescent="0.2">
      <c r="H13" s="28" t="s">
        <v>342</v>
      </c>
      <c r="I13" s="29">
        <v>0.83</v>
      </c>
      <c r="J13" s="30" t="s">
        <v>340</v>
      </c>
    </row>
  </sheetData>
  <mergeCells count="3">
    <mergeCell ref="A1:F1"/>
    <mergeCell ref="A2:F2"/>
    <mergeCell ref="A4:F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zoomScaleNormal="100" workbookViewId="0">
      <selection activeCell="B13" sqref="B13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14" customWidth="1"/>
    <col min="4" max="4" width="18" customWidth="1"/>
    <col min="5" max="5" width="16" customWidth="1"/>
    <col min="6" max="6" width="12" customWidth="1"/>
    <col min="7" max="8" width="18" customWidth="1"/>
  </cols>
  <sheetData>
    <row r="1" spans="1:8" ht="27.75" customHeight="1" x14ac:dyDescent="0.2">
      <c r="A1" s="5" t="s">
        <v>572</v>
      </c>
      <c r="B1" s="5"/>
      <c r="C1" s="5"/>
      <c r="D1" s="5"/>
      <c r="E1" s="5"/>
      <c r="F1" s="5"/>
      <c r="G1" s="5"/>
      <c r="H1" s="5"/>
    </row>
    <row r="2" spans="1:8" x14ac:dyDescent="0.2">
      <c r="A2" s="3" t="s">
        <v>573</v>
      </c>
      <c r="B2" s="3"/>
      <c r="C2" s="3"/>
      <c r="D2" s="3"/>
      <c r="E2" s="3"/>
      <c r="F2" s="3"/>
      <c r="G2" s="3"/>
      <c r="H2" s="3"/>
    </row>
    <row r="4" spans="1:8" ht="49.5" customHeight="1" x14ac:dyDescent="0.2">
      <c r="A4" s="2" t="s">
        <v>574</v>
      </c>
      <c r="B4" s="2"/>
      <c r="C4" s="2"/>
      <c r="D4" s="2"/>
      <c r="E4" s="2"/>
      <c r="F4" s="2"/>
      <c r="G4" s="2"/>
      <c r="H4" s="2"/>
    </row>
    <row r="5" spans="1:8" ht="13.5" customHeight="1" x14ac:dyDescent="0.2">
      <c r="A5" s="2"/>
      <c r="B5" s="2"/>
      <c r="C5" s="2"/>
      <c r="D5" s="2"/>
      <c r="E5" s="2"/>
      <c r="F5" s="2"/>
      <c r="G5" s="2"/>
      <c r="H5" s="2"/>
    </row>
    <row r="6" spans="1:8" ht="13.5" customHeight="1" x14ac:dyDescent="0.2">
      <c r="A6" s="2"/>
      <c r="B6" s="2"/>
      <c r="C6" s="2"/>
      <c r="D6" s="2"/>
      <c r="E6" s="2"/>
      <c r="F6" s="2"/>
      <c r="G6" s="2"/>
      <c r="H6" s="2"/>
    </row>
    <row r="8" spans="1:8" x14ac:dyDescent="0.2">
      <c r="A8" s="6" t="s">
        <v>575</v>
      </c>
      <c r="B8" s="6"/>
      <c r="C8" s="6"/>
      <c r="D8" s="6"/>
      <c r="E8" s="6"/>
      <c r="F8" s="6"/>
      <c r="G8" s="6"/>
      <c r="H8" s="6"/>
    </row>
    <row r="9" spans="1:8" x14ac:dyDescent="0.2">
      <c r="A9" s="19" t="s">
        <v>576</v>
      </c>
      <c r="B9" s="19" t="s">
        <v>571</v>
      </c>
      <c r="C9" s="19" t="s">
        <v>577</v>
      </c>
      <c r="D9" s="19" t="s">
        <v>578</v>
      </c>
      <c r="E9" s="19" t="s">
        <v>579</v>
      </c>
      <c r="F9" s="19" t="s">
        <v>580</v>
      </c>
      <c r="G9" s="19" t="s">
        <v>581</v>
      </c>
      <c r="H9" s="19" t="s">
        <v>582</v>
      </c>
    </row>
    <row r="10" spans="1:8" x14ac:dyDescent="0.2">
      <c r="A10" s="26">
        <v>1</v>
      </c>
      <c r="B10" s="24" t="s">
        <v>583</v>
      </c>
      <c r="C10" s="26" t="s">
        <v>584</v>
      </c>
      <c r="D10" s="24" t="s">
        <v>585</v>
      </c>
      <c r="E10" s="26" t="s">
        <v>586</v>
      </c>
      <c r="F10" s="32"/>
      <c r="G10" s="32"/>
      <c r="H10" s="32"/>
    </row>
    <row r="11" spans="1:8" x14ac:dyDescent="0.2">
      <c r="A11" s="33">
        <v>1</v>
      </c>
      <c r="B11" s="34" t="s">
        <v>583</v>
      </c>
      <c r="C11" s="33" t="s">
        <v>587</v>
      </c>
      <c r="D11" s="34" t="s">
        <v>585</v>
      </c>
      <c r="E11" s="33" t="s">
        <v>586</v>
      </c>
      <c r="F11" s="35"/>
      <c r="G11" s="35"/>
      <c r="H11" s="35"/>
    </row>
    <row r="12" spans="1:8" x14ac:dyDescent="0.2">
      <c r="A12" s="26">
        <v>2</v>
      </c>
      <c r="B12" s="24" t="s">
        <v>583</v>
      </c>
      <c r="C12" s="26" t="s">
        <v>584</v>
      </c>
      <c r="D12" s="24" t="s">
        <v>585</v>
      </c>
      <c r="E12" s="26" t="s">
        <v>586</v>
      </c>
      <c r="F12" s="32"/>
      <c r="G12" s="32"/>
      <c r="H12" s="32"/>
    </row>
    <row r="13" spans="1:8" x14ac:dyDescent="0.2">
      <c r="A13" s="33">
        <v>2</v>
      </c>
      <c r="B13" s="34" t="s">
        <v>583</v>
      </c>
      <c r="C13" s="33" t="s">
        <v>587</v>
      </c>
      <c r="D13" s="34" t="s">
        <v>585</v>
      </c>
      <c r="E13" s="33" t="s">
        <v>586</v>
      </c>
      <c r="F13" s="35"/>
      <c r="G13" s="35"/>
      <c r="H13" s="35"/>
    </row>
    <row r="14" spans="1:8" x14ac:dyDescent="0.2">
      <c r="A14" s="26">
        <v>3</v>
      </c>
      <c r="B14" s="24" t="s">
        <v>583</v>
      </c>
      <c r="C14" s="26" t="s">
        <v>584</v>
      </c>
      <c r="D14" s="24" t="s">
        <v>585</v>
      </c>
      <c r="E14" s="26" t="s">
        <v>586</v>
      </c>
      <c r="F14" s="32"/>
      <c r="G14" s="32"/>
      <c r="H14" s="32"/>
    </row>
    <row r="15" spans="1:8" x14ac:dyDescent="0.2">
      <c r="A15" s="33">
        <v>3</v>
      </c>
      <c r="B15" s="34" t="s">
        <v>583</v>
      </c>
      <c r="C15" s="33" t="s">
        <v>587</v>
      </c>
      <c r="D15" s="34" t="s">
        <v>585</v>
      </c>
      <c r="E15" s="33" t="s">
        <v>586</v>
      </c>
      <c r="F15" s="35"/>
      <c r="G15" s="35"/>
      <c r="H15" s="35"/>
    </row>
    <row r="17" spans="1:8" x14ac:dyDescent="0.2">
      <c r="A17" s="6" t="s">
        <v>588</v>
      </c>
      <c r="B17" s="6"/>
      <c r="C17" s="6"/>
      <c r="D17" s="6"/>
      <c r="E17" s="6"/>
      <c r="F17" s="6"/>
      <c r="G17" s="6"/>
      <c r="H17" s="6"/>
    </row>
    <row r="18" spans="1:8" x14ac:dyDescent="0.2">
      <c r="A18" s="19" t="s">
        <v>576</v>
      </c>
      <c r="B18" s="19" t="s">
        <v>571</v>
      </c>
      <c r="C18" s="19" t="s">
        <v>589</v>
      </c>
      <c r="D18" s="19" t="s">
        <v>590</v>
      </c>
      <c r="E18" s="19" t="s">
        <v>591</v>
      </c>
      <c r="F18" s="19" t="s">
        <v>592</v>
      </c>
    </row>
    <row r="19" spans="1:8" x14ac:dyDescent="0.2">
      <c r="A19" s="30">
        <v>1</v>
      </c>
      <c r="B19" s="28" t="str">
        <f>B10</f>
        <v>INSERT ISSUER NAME</v>
      </c>
      <c r="C19" s="30">
        <f>G10</f>
        <v>0</v>
      </c>
      <c r="D19" s="30">
        <f>G11</f>
        <v>0</v>
      </c>
      <c r="E19" s="36">
        <f>IF(AND(ISNUMBER(C19),ISNUMBER(D19)),(D19-C19)*100,"Awaiting data")</f>
        <v>0</v>
      </c>
      <c r="F19" s="28" t="str">
        <f>IF(ISNUMBER(E19),IF(E19&gt;0,"Green trades at premium (greenium exists)",IF(E19&lt;0,"Green trades at discount","No greenium")),"")</f>
        <v>No greenium</v>
      </c>
    </row>
    <row r="20" spans="1:8" x14ac:dyDescent="0.2">
      <c r="A20" s="26">
        <v>2</v>
      </c>
      <c r="B20" s="24" t="str">
        <f>B12</f>
        <v>INSERT ISSUER NAME</v>
      </c>
      <c r="C20" s="26">
        <f>G12</f>
        <v>0</v>
      </c>
      <c r="D20" s="26">
        <f>G13</f>
        <v>0</v>
      </c>
      <c r="E20" s="37">
        <f>IF(AND(ISNUMBER(C20),ISNUMBER(D20)),(D20-C20)*100,"Awaiting data")</f>
        <v>0</v>
      </c>
      <c r="F20" s="24" t="str">
        <f>IF(ISNUMBER(E20),IF(E20&gt;0,"Green trades at premium (greenium exists)",IF(E20&lt;0,"Green trades at discount","No greenium")),"")</f>
        <v>No greenium</v>
      </c>
    </row>
    <row r="21" spans="1:8" x14ac:dyDescent="0.2">
      <c r="A21" s="30">
        <v>3</v>
      </c>
      <c r="B21" s="28" t="str">
        <f>B14</f>
        <v>INSERT ISSUER NAME</v>
      </c>
      <c r="C21" s="30">
        <f>G14</f>
        <v>0</v>
      </c>
      <c r="D21" s="30">
        <f>G15</f>
        <v>0</v>
      </c>
      <c r="E21" s="36">
        <f>IF(AND(ISNUMBER(C21),ISNUMBER(D21)),(D21-C21)*100,"Awaiting data")</f>
        <v>0</v>
      </c>
      <c r="F21" s="28" t="str">
        <f>IF(ISNUMBER(E21),IF(E21&gt;0,"Green trades at premium (greenium exists)",IF(E21&lt;0,"Green trades at discount","No greenium")),"")</f>
        <v>No greenium</v>
      </c>
    </row>
    <row r="22" spans="1:8" x14ac:dyDescent="0.2">
      <c r="A22" s="38"/>
      <c r="B22" s="38"/>
      <c r="C22" s="38"/>
      <c r="D22" s="39" t="s">
        <v>593</v>
      </c>
      <c r="E22" s="40">
        <f>IFERROR(AVERAGEIF(E19:E21,"&lt;&gt;Awaiting data",E19:E21),"Awaiting data")</f>
        <v>0</v>
      </c>
      <c r="F22" s="38"/>
    </row>
    <row r="24" spans="1:8" ht="90" customHeight="1" x14ac:dyDescent="0.2">
      <c r="A24" s="1" t="s">
        <v>594</v>
      </c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</sheetData>
  <mergeCells count="6">
    <mergeCell ref="A24:H28"/>
    <mergeCell ref="A1:H1"/>
    <mergeCell ref="A2:H2"/>
    <mergeCell ref="A4:H6"/>
    <mergeCell ref="A8:H8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Dashboard</vt:lpstr>
      <vt:lpstr>Raw Data</vt:lpstr>
      <vt:lpstr>Annual Issuance</vt:lpstr>
      <vt:lpstr>Country &amp; Sector</vt:lpstr>
      <vt:lpstr>SLB Analysis</vt:lpstr>
      <vt:lpstr>Greenium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Shangyu Zhao</cp:lastModifiedBy>
  <cp:revision>1</cp:revision>
  <dcterms:created xsi:type="dcterms:W3CDTF">2026-03-11T22:03:03Z</dcterms:created>
  <dcterms:modified xsi:type="dcterms:W3CDTF">2026-03-11T22:18:22Z</dcterms:modified>
  <dc:language>en-US</dc:language>
</cp:coreProperties>
</file>